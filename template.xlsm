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em6\Bureau\Cours offline\Informatique de prévision\"/>
    </mc:Choice>
  </mc:AlternateContent>
  <xr:revisionPtr revIDLastSave="0" documentId="13_ncr:1_{9E567ADC-385E-44DF-8C54-44D6DD46120E}" xr6:coauthVersionLast="47" xr6:coauthVersionMax="47" xr10:uidLastSave="{00000000-0000-0000-0000-000000000000}"/>
  <bookViews>
    <workbookView xWindow="-103" yWindow="-103" windowWidth="23657" windowHeight="15120" activeTab="5" xr2:uid="{00000000-000D-0000-FFFF-FFFF00000000}"/>
  </bookViews>
  <sheets>
    <sheet name="Menu" sheetId="3" r:id="rId1"/>
    <sheet name="Saisonnalité des données" sheetId="14" r:id="rId2"/>
    <sheet name="DATA" sheetId="1" r:id="rId3"/>
    <sheet name="Param" sheetId="10" r:id="rId4"/>
    <sheet name="Temp" sheetId="12" r:id="rId5"/>
    <sheet name="Memory" sheetId="2" r:id="rId6"/>
  </sheets>
  <functionGroups builtInGroupCount="19"/>
  <definedNames>
    <definedName name="axeX">Memory!$A$1</definedName>
    <definedName name="axeY">Memory!$A$2</definedName>
    <definedName name="processCancel">Memory!$A$4</definedName>
    <definedName name="startColBase">Param!$B$1</definedName>
    <definedName name="tempRangeMemory">Memory!$A$6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4" l="1"/>
  <c r="C6" i="14"/>
  <c r="C7" i="14"/>
  <c r="C8" i="14"/>
  <c r="C9" i="14"/>
  <c r="C10" i="14"/>
  <c r="C4" i="14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H127" i="1"/>
  <c r="E127" i="1"/>
  <c r="D127" i="1"/>
  <c r="H126" i="1"/>
  <c r="E126" i="1"/>
  <c r="D126" i="1"/>
  <c r="H125" i="1"/>
  <c r="E125" i="1"/>
  <c r="D125" i="1"/>
  <c r="H124" i="1"/>
  <c r="G124" i="1"/>
  <c r="E124" i="1"/>
  <c r="D124" i="1"/>
  <c r="G123" i="1"/>
  <c r="H123" i="1" s="1"/>
  <c r="E123" i="1"/>
  <c r="D123" i="1"/>
  <c r="H122" i="1"/>
  <c r="G122" i="1"/>
  <c r="E122" i="1"/>
  <c r="D122" i="1"/>
  <c r="G121" i="1"/>
  <c r="H121" i="1" s="1"/>
  <c r="E121" i="1"/>
  <c r="D121" i="1"/>
  <c r="H120" i="1"/>
  <c r="G120" i="1"/>
  <c r="E120" i="1"/>
  <c r="D120" i="1"/>
  <c r="G119" i="1"/>
  <c r="H119" i="1" s="1"/>
  <c r="E119" i="1"/>
  <c r="D119" i="1"/>
  <c r="H118" i="1"/>
  <c r="G118" i="1"/>
  <c r="E118" i="1"/>
  <c r="D118" i="1"/>
  <c r="G117" i="1"/>
  <c r="H117" i="1" s="1"/>
  <c r="E117" i="1"/>
  <c r="D117" i="1"/>
  <c r="H116" i="1"/>
  <c r="G116" i="1"/>
  <c r="E116" i="1"/>
  <c r="D116" i="1"/>
  <c r="G115" i="1"/>
  <c r="H115" i="1" s="1"/>
  <c r="E115" i="1"/>
  <c r="D115" i="1"/>
  <c r="H114" i="1"/>
  <c r="G114" i="1"/>
  <c r="E114" i="1"/>
  <c r="D114" i="1"/>
  <c r="G113" i="1"/>
  <c r="H113" i="1" s="1"/>
  <c r="E113" i="1"/>
  <c r="D113" i="1"/>
  <c r="H112" i="1"/>
  <c r="G112" i="1"/>
  <c r="E112" i="1"/>
  <c r="D112" i="1"/>
  <c r="G111" i="1"/>
  <c r="H111" i="1" s="1"/>
  <c r="E111" i="1"/>
  <c r="D111" i="1"/>
  <c r="H110" i="1"/>
  <c r="G110" i="1"/>
  <c r="E110" i="1"/>
  <c r="D110" i="1"/>
  <c r="G109" i="1"/>
  <c r="H109" i="1" s="1"/>
  <c r="E109" i="1"/>
  <c r="D109" i="1"/>
  <c r="H108" i="1"/>
  <c r="G108" i="1"/>
  <c r="E108" i="1"/>
  <c r="D108" i="1"/>
  <c r="G107" i="1"/>
  <c r="H107" i="1" s="1"/>
  <c r="E107" i="1"/>
  <c r="D107" i="1"/>
  <c r="H106" i="1"/>
  <c r="G106" i="1"/>
  <c r="E106" i="1"/>
  <c r="D106" i="1"/>
  <c r="G105" i="1"/>
  <c r="H105" i="1" s="1"/>
  <c r="E105" i="1"/>
  <c r="D105" i="1"/>
  <c r="H104" i="1"/>
  <c r="G104" i="1"/>
  <c r="E104" i="1"/>
  <c r="D104" i="1"/>
  <c r="G103" i="1"/>
  <c r="H103" i="1" s="1"/>
  <c r="E103" i="1"/>
  <c r="D103" i="1"/>
  <c r="H102" i="1"/>
  <c r="G102" i="1"/>
  <c r="E102" i="1"/>
  <c r="D102" i="1"/>
  <c r="G101" i="1"/>
  <c r="H101" i="1" s="1"/>
  <c r="E101" i="1"/>
  <c r="D101" i="1"/>
  <c r="H100" i="1"/>
  <c r="G100" i="1"/>
  <c r="E100" i="1"/>
  <c r="D100" i="1"/>
  <c r="G99" i="1"/>
  <c r="H99" i="1" s="1"/>
  <c r="E99" i="1"/>
  <c r="D99" i="1"/>
  <c r="H98" i="1"/>
  <c r="G98" i="1"/>
  <c r="E98" i="1"/>
  <c r="D98" i="1"/>
  <c r="G97" i="1"/>
  <c r="H97" i="1" s="1"/>
  <c r="E97" i="1"/>
  <c r="D97" i="1"/>
  <c r="H96" i="1"/>
  <c r="G96" i="1"/>
  <c r="E96" i="1"/>
  <c r="D96" i="1"/>
  <c r="G95" i="1"/>
  <c r="H95" i="1" s="1"/>
  <c r="E95" i="1"/>
  <c r="D95" i="1"/>
  <c r="H94" i="1"/>
  <c r="G94" i="1"/>
  <c r="E94" i="1"/>
  <c r="D94" i="1"/>
  <c r="G93" i="1"/>
  <c r="H93" i="1" s="1"/>
  <c r="E93" i="1"/>
  <c r="D93" i="1"/>
  <c r="H92" i="1"/>
  <c r="G92" i="1"/>
  <c r="E92" i="1"/>
  <c r="D92" i="1"/>
  <c r="G91" i="1"/>
  <c r="H91" i="1" s="1"/>
  <c r="E91" i="1"/>
  <c r="D91" i="1"/>
  <c r="H90" i="1"/>
  <c r="G90" i="1"/>
  <c r="E90" i="1"/>
  <c r="D90" i="1"/>
  <c r="G89" i="1"/>
  <c r="H89" i="1" s="1"/>
  <c r="E89" i="1"/>
  <c r="D89" i="1"/>
  <c r="H88" i="1"/>
  <c r="G88" i="1"/>
  <c r="E88" i="1"/>
  <c r="D88" i="1"/>
  <c r="G87" i="1"/>
  <c r="H87" i="1" s="1"/>
  <c r="E87" i="1"/>
  <c r="D87" i="1"/>
  <c r="H86" i="1"/>
  <c r="G86" i="1"/>
  <c r="E86" i="1"/>
  <c r="D86" i="1"/>
  <c r="G85" i="1"/>
  <c r="H85" i="1" s="1"/>
  <c r="E85" i="1"/>
  <c r="D85" i="1"/>
  <c r="H84" i="1"/>
  <c r="G84" i="1"/>
  <c r="E84" i="1"/>
  <c r="D84" i="1"/>
  <c r="G83" i="1"/>
  <c r="H83" i="1" s="1"/>
  <c r="E83" i="1"/>
  <c r="D83" i="1"/>
  <c r="H82" i="1"/>
  <c r="G82" i="1"/>
  <c r="E82" i="1"/>
  <c r="D82" i="1"/>
  <c r="G81" i="1"/>
  <c r="H81" i="1" s="1"/>
  <c r="E81" i="1"/>
  <c r="D81" i="1"/>
  <c r="H80" i="1"/>
  <c r="G80" i="1"/>
  <c r="E80" i="1"/>
  <c r="D80" i="1"/>
  <c r="G79" i="1"/>
  <c r="H79" i="1" s="1"/>
  <c r="E79" i="1"/>
  <c r="D79" i="1"/>
  <c r="H78" i="1"/>
  <c r="G78" i="1"/>
  <c r="E78" i="1"/>
  <c r="D78" i="1"/>
  <c r="G77" i="1"/>
  <c r="H77" i="1" s="1"/>
  <c r="E77" i="1"/>
  <c r="D77" i="1"/>
  <c r="H76" i="1"/>
  <c r="G76" i="1"/>
  <c r="E76" i="1"/>
  <c r="D76" i="1"/>
  <c r="G75" i="1"/>
  <c r="H75" i="1" s="1"/>
  <c r="E75" i="1"/>
  <c r="D75" i="1"/>
  <c r="H74" i="1"/>
  <c r="G74" i="1"/>
  <c r="E74" i="1"/>
  <c r="D74" i="1"/>
  <c r="G73" i="1"/>
  <c r="H73" i="1" s="1"/>
  <c r="E73" i="1"/>
  <c r="D73" i="1"/>
  <c r="H72" i="1"/>
  <c r="G72" i="1"/>
  <c r="E72" i="1"/>
  <c r="D72" i="1"/>
  <c r="G71" i="1"/>
  <c r="H71" i="1" s="1"/>
  <c r="E71" i="1"/>
  <c r="D71" i="1"/>
  <c r="H70" i="1"/>
  <c r="G70" i="1"/>
  <c r="E70" i="1"/>
  <c r="D70" i="1"/>
  <c r="G69" i="1"/>
  <c r="H69" i="1" s="1"/>
  <c r="E69" i="1"/>
  <c r="D69" i="1"/>
  <c r="H68" i="1"/>
  <c r="G68" i="1"/>
  <c r="E68" i="1"/>
  <c r="D68" i="1"/>
  <c r="G67" i="1"/>
  <c r="H67" i="1" s="1"/>
  <c r="E67" i="1"/>
  <c r="D67" i="1"/>
  <c r="H66" i="1"/>
  <c r="G66" i="1"/>
  <c r="E66" i="1"/>
  <c r="D66" i="1"/>
  <c r="G65" i="1"/>
  <c r="H65" i="1" s="1"/>
  <c r="E65" i="1"/>
  <c r="D65" i="1"/>
  <c r="H64" i="1"/>
  <c r="G64" i="1"/>
  <c r="E64" i="1"/>
  <c r="D64" i="1"/>
  <c r="G63" i="1"/>
  <c r="H63" i="1" s="1"/>
  <c r="E63" i="1"/>
  <c r="D63" i="1"/>
  <c r="H62" i="1"/>
  <c r="G62" i="1"/>
  <c r="E62" i="1"/>
  <c r="D62" i="1"/>
  <c r="G61" i="1"/>
  <c r="H61" i="1" s="1"/>
  <c r="E61" i="1"/>
  <c r="D61" i="1"/>
  <c r="H60" i="1"/>
  <c r="G60" i="1"/>
  <c r="E60" i="1"/>
  <c r="D60" i="1"/>
  <c r="G59" i="1"/>
  <c r="H59" i="1" s="1"/>
  <c r="E59" i="1"/>
  <c r="D59" i="1"/>
  <c r="H58" i="1"/>
  <c r="G58" i="1"/>
  <c r="E58" i="1"/>
  <c r="D58" i="1"/>
  <c r="G57" i="1"/>
  <c r="H57" i="1" s="1"/>
  <c r="E57" i="1"/>
  <c r="D57" i="1"/>
  <c r="H56" i="1"/>
  <c r="G56" i="1"/>
  <c r="E56" i="1"/>
  <c r="D56" i="1"/>
  <c r="G55" i="1"/>
  <c r="H55" i="1" s="1"/>
  <c r="E55" i="1"/>
  <c r="D55" i="1"/>
  <c r="H54" i="1"/>
  <c r="G54" i="1"/>
  <c r="E54" i="1"/>
  <c r="D54" i="1"/>
  <c r="G53" i="1"/>
  <c r="H53" i="1" s="1"/>
  <c r="E53" i="1"/>
  <c r="D53" i="1"/>
  <c r="H52" i="1"/>
  <c r="G52" i="1"/>
  <c r="E52" i="1"/>
  <c r="D52" i="1"/>
  <c r="G51" i="1"/>
  <c r="H51" i="1" s="1"/>
  <c r="E51" i="1"/>
  <c r="D51" i="1"/>
  <c r="H50" i="1"/>
  <c r="G50" i="1"/>
  <c r="E50" i="1"/>
  <c r="D50" i="1"/>
  <c r="G49" i="1"/>
  <c r="H49" i="1" s="1"/>
  <c r="E49" i="1"/>
  <c r="D49" i="1"/>
  <c r="H48" i="1"/>
  <c r="G48" i="1"/>
  <c r="E48" i="1"/>
  <c r="D48" i="1"/>
  <c r="G47" i="1"/>
  <c r="H47" i="1" s="1"/>
  <c r="E47" i="1"/>
  <c r="D47" i="1"/>
  <c r="H46" i="1"/>
  <c r="G46" i="1"/>
  <c r="E46" i="1"/>
  <c r="D46" i="1"/>
  <c r="G45" i="1"/>
  <c r="H45" i="1" s="1"/>
  <c r="E45" i="1"/>
  <c r="D45" i="1"/>
  <c r="H44" i="1"/>
  <c r="G44" i="1"/>
  <c r="E44" i="1"/>
  <c r="D44" i="1"/>
  <c r="G43" i="1"/>
  <c r="H43" i="1" s="1"/>
  <c r="E43" i="1"/>
  <c r="D43" i="1"/>
  <c r="H42" i="1"/>
  <c r="G42" i="1"/>
  <c r="E42" i="1"/>
  <c r="D42" i="1"/>
  <c r="G41" i="1"/>
  <c r="H41" i="1" s="1"/>
  <c r="E41" i="1"/>
  <c r="D41" i="1"/>
  <c r="H40" i="1"/>
  <c r="G40" i="1"/>
  <c r="E40" i="1"/>
  <c r="D40" i="1"/>
  <c r="G39" i="1"/>
  <c r="H39" i="1" s="1"/>
  <c r="E39" i="1"/>
  <c r="D39" i="1"/>
  <c r="H38" i="1"/>
  <c r="G38" i="1"/>
  <c r="E38" i="1"/>
  <c r="D38" i="1"/>
  <c r="G37" i="1"/>
  <c r="H37" i="1" s="1"/>
  <c r="E37" i="1"/>
  <c r="D37" i="1"/>
  <c r="H36" i="1"/>
  <c r="G36" i="1"/>
  <c r="E36" i="1"/>
  <c r="D36" i="1"/>
  <c r="G35" i="1"/>
  <c r="H35" i="1" s="1"/>
  <c r="E35" i="1"/>
  <c r="D35" i="1"/>
  <c r="H34" i="1"/>
  <c r="G34" i="1"/>
  <c r="E34" i="1"/>
  <c r="D34" i="1"/>
  <c r="G33" i="1"/>
  <c r="H33" i="1" s="1"/>
  <c r="E33" i="1"/>
  <c r="D33" i="1"/>
  <c r="H32" i="1"/>
  <c r="G32" i="1"/>
  <c r="E32" i="1"/>
  <c r="D32" i="1"/>
  <c r="G31" i="1"/>
  <c r="H31" i="1" s="1"/>
  <c r="E31" i="1"/>
  <c r="D31" i="1"/>
  <c r="H30" i="1"/>
  <c r="G30" i="1"/>
  <c r="E30" i="1"/>
  <c r="D30" i="1"/>
  <c r="G29" i="1"/>
  <c r="H29" i="1" s="1"/>
  <c r="E29" i="1"/>
  <c r="D29" i="1"/>
  <c r="H28" i="1"/>
  <c r="G28" i="1"/>
  <c r="E28" i="1"/>
  <c r="D28" i="1"/>
  <c r="G27" i="1"/>
  <c r="H27" i="1" s="1"/>
  <c r="E27" i="1"/>
  <c r="D27" i="1"/>
  <c r="H26" i="1"/>
  <c r="G26" i="1"/>
  <c r="E26" i="1"/>
  <c r="D26" i="1"/>
  <c r="G25" i="1"/>
  <c r="H25" i="1" s="1"/>
  <c r="E25" i="1"/>
  <c r="D25" i="1"/>
  <c r="H24" i="1"/>
  <c r="G24" i="1"/>
  <c r="E24" i="1"/>
  <c r="D24" i="1"/>
  <c r="G23" i="1"/>
  <c r="H23" i="1" s="1"/>
  <c r="E23" i="1"/>
  <c r="D23" i="1"/>
  <c r="H22" i="1"/>
  <c r="G22" i="1"/>
  <c r="E22" i="1"/>
  <c r="D22" i="1"/>
  <c r="G21" i="1"/>
  <c r="H21" i="1" s="1"/>
  <c r="E21" i="1"/>
  <c r="D21" i="1"/>
  <c r="H20" i="1"/>
  <c r="G20" i="1"/>
  <c r="E20" i="1"/>
  <c r="D20" i="1"/>
  <c r="G19" i="1"/>
  <c r="H19" i="1" s="1"/>
  <c r="E19" i="1"/>
  <c r="D19" i="1"/>
  <c r="H18" i="1"/>
  <c r="G18" i="1"/>
  <c r="E18" i="1"/>
  <c r="D18" i="1"/>
  <c r="G17" i="1"/>
  <c r="H17" i="1" s="1"/>
  <c r="E17" i="1"/>
  <c r="D17" i="1"/>
  <c r="H16" i="1"/>
  <c r="G16" i="1"/>
  <c r="E16" i="1"/>
  <c r="D16" i="1"/>
  <c r="G15" i="1"/>
  <c r="H15" i="1" s="1"/>
  <c r="E15" i="1"/>
  <c r="D15" i="1"/>
  <c r="H14" i="1"/>
  <c r="G14" i="1"/>
  <c r="E14" i="1"/>
  <c r="D14" i="1"/>
  <c r="G13" i="1"/>
  <c r="H13" i="1" s="1"/>
  <c r="E13" i="1"/>
  <c r="D13" i="1"/>
  <c r="H12" i="1"/>
  <c r="G12" i="1"/>
  <c r="E12" i="1"/>
  <c r="D12" i="1"/>
  <c r="G11" i="1"/>
  <c r="H11" i="1" s="1"/>
  <c r="E11" i="1"/>
  <c r="D11" i="1"/>
  <c r="H10" i="1"/>
  <c r="G10" i="1"/>
  <c r="E10" i="1"/>
  <c r="D10" i="1"/>
  <c r="G9" i="1"/>
  <c r="H9" i="1" s="1"/>
  <c r="E9" i="1"/>
  <c r="D9" i="1"/>
  <c r="H8" i="1"/>
  <c r="G8" i="1"/>
  <c r="E8" i="1"/>
  <c r="D8" i="1"/>
  <c r="G7" i="1"/>
  <c r="H7" i="1" s="1"/>
  <c r="E7" i="1"/>
  <c r="D7" i="1"/>
  <c r="H6" i="1"/>
  <c r="G6" i="1"/>
  <c r="E6" i="1"/>
  <c r="D6" i="1"/>
  <c r="G5" i="1"/>
  <c r="H5" i="1" s="1"/>
  <c r="E5" i="1"/>
  <c r="D5" i="1"/>
  <c r="H4" i="1"/>
  <c r="E4" i="1"/>
  <c r="D4" i="1"/>
  <c r="H3" i="1"/>
  <c r="E3" i="1"/>
  <c r="D3" i="1"/>
  <c r="H2" i="1"/>
  <c r="E2" i="1"/>
  <c r="D2" i="1"/>
</calcChain>
</file>

<file path=xl/sharedStrings.xml><?xml version="1.0" encoding="utf-8"?>
<sst xmlns="http://schemas.openxmlformats.org/spreadsheetml/2006/main" count="165" uniqueCount="25">
  <si>
    <t>DATA!$B$1:$B$29</t>
  </si>
  <si>
    <t>DATA!$A$1:$A$29</t>
  </si>
  <si>
    <t xml:space="preserve">Créer les colonnes t, t2, t3, etc. à partir de la colonne : </t>
  </si>
  <si>
    <t>C</t>
  </si>
  <si>
    <t>k=</t>
  </si>
  <si>
    <t>semaine</t>
  </si>
  <si>
    <t>jour</t>
  </si>
  <si>
    <t>t</t>
  </si>
  <si>
    <t>t²</t>
  </si>
  <si>
    <r>
      <t>t</t>
    </r>
    <r>
      <rPr>
        <vertAlign val="superscript"/>
        <sz val="11"/>
        <color theme="1"/>
        <rFont val="Calibri"/>
        <family val="2"/>
        <scheme val="minor"/>
      </rPr>
      <t>3</t>
    </r>
  </si>
  <si>
    <t>visites</t>
  </si>
  <si>
    <t>MM(7)</t>
  </si>
  <si>
    <t>Y-MM(7) = S</t>
  </si>
  <si>
    <t>lundi</t>
  </si>
  <si>
    <t>mardi</t>
  </si>
  <si>
    <t>mercredi</t>
  </si>
  <si>
    <t>jeudi</t>
  </si>
  <si>
    <t>vendredi</t>
  </si>
  <si>
    <t>samedi</t>
  </si>
  <si>
    <t>dimanche</t>
  </si>
  <si>
    <t>Étiquettes de lignes</t>
  </si>
  <si>
    <t>Total général</t>
  </si>
  <si>
    <t>Moyenne de visites</t>
  </si>
  <si>
    <t>st</t>
  </si>
  <si>
    <t>Si besoin, changé la source de données pour correspondre à votre besoin, le reste sera calculé automatiquement.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</si>
</sst>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1" xfId="0" applyFill="1" applyBorder="1"/>
    <xf numFmtId="0" fontId="4" fillId="2" borderId="2" xfId="0" applyFont="1" applyFill="1" applyBorder="1"/>
    <xf numFmtId="0" fontId="0" fillId="0" borderId="3" xfId="0" applyBorder="1" applyAlignment="1">
      <alignment horizontal="left"/>
    </xf>
    <xf numFmtId="0" fontId="0" fillId="0" borderId="4" xfId="0" applyBorder="1"/>
    <xf numFmtId="0" fontId="5" fillId="0" borderId="5" xfId="0" applyFont="1" applyBorder="1" applyAlignment="1">
      <alignment horizontal="center"/>
    </xf>
    <xf numFmtId="0" fontId="4" fillId="0" borderId="6" xfId="0" applyFont="1" applyBorder="1" applyAlignment="1">
      <alignment horizontal="left"/>
    </xf>
    <xf numFmtId="0" fontId="0" fillId="0" borderId="7" xfId="0" applyBorder="1"/>
    <xf numFmtId="0" fontId="6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7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4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[template.xlsm]Saisonnalité des données!Tableau croisé dynamique2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Saisonnalité de</a:t>
            </a:r>
            <a:r>
              <a:rPr lang="en-US" baseline="0"/>
              <a:t> 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rgbClr val="5B9BD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'Saisonnalité des données'!$B$3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  <a:effectLst/>
          </c:spPr>
          <c:invertIfNegative val="1"/>
          <c:cat>
            <c:strRef>
              <c:f>'Saisonnalité des données'!$A$4:$A$11</c:f>
              <c:strCache>
                <c:ptCount val="7"/>
                <c:pt idx="0">
                  <c:v>lundi</c:v>
                </c:pt>
                <c:pt idx="1">
                  <c:v>mardi</c:v>
                </c:pt>
                <c:pt idx="2">
                  <c:v>mercredi</c:v>
                </c:pt>
                <c:pt idx="3">
                  <c:v>jeudi</c:v>
                </c:pt>
                <c:pt idx="4">
                  <c:v>vendredi</c:v>
                </c:pt>
                <c:pt idx="5">
                  <c:v>samedi</c:v>
                </c:pt>
                <c:pt idx="6">
                  <c:v>dimanche</c:v>
                </c:pt>
              </c:strCache>
            </c:strRef>
          </c:cat>
          <c:val>
            <c:numRef>
              <c:f>'Saisonnalité des données'!$B$4:$B$11</c:f>
              <c:numCache>
                <c:formatCode>General</c:formatCode>
                <c:ptCount val="7"/>
                <c:pt idx="0">
                  <c:v>948.5</c:v>
                </c:pt>
                <c:pt idx="1">
                  <c:v>972.94444444444446</c:v>
                </c:pt>
                <c:pt idx="2">
                  <c:v>981.05555555555554</c:v>
                </c:pt>
                <c:pt idx="3">
                  <c:v>910.66666666666663</c:v>
                </c:pt>
                <c:pt idx="4">
                  <c:v>743.55555555555554</c:v>
                </c:pt>
                <c:pt idx="5">
                  <c:v>497.83333333333331</c:v>
                </c:pt>
                <c:pt idx="6">
                  <c:v>676.61111111111109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695-4D2B-9EC7-7C91554AE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0576479"/>
        <c:axId val="970588959"/>
      </c:barChart>
      <c:catAx>
        <c:axId val="970576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0588959"/>
        <c:crosses val="autoZero"/>
        <c:auto val="1"/>
        <c:lblAlgn val="ctr"/>
        <c:lblOffset val="100"/>
        <c:noMultiLvlLbl val="0"/>
      </c:catAx>
      <c:valAx>
        <c:axId val="97058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0576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4378C4D9-399F-4594-B834-2BAAD2610118}" type="doc">
      <dgm:prSet loTypeId="urn:microsoft.com/office/officeart/2005/8/layout/chevron1" loCatId="process" qsTypeId="urn:microsoft.com/office/officeart/2005/8/quickstyle/simple1" qsCatId="simple" csTypeId="urn:microsoft.com/office/officeart/2005/8/colors/accent1_2" csCatId="accent1" phldr="1"/>
      <dgm:spPr/>
    </dgm:pt>
    <dgm:pt modelId="{202BF6E8-F7EC-4552-99D0-C5AA8F2278BB}">
      <dgm:prSet phldrT="[Texte]"/>
      <dgm:spPr/>
      <dgm:t>
        <a:bodyPr/>
        <a:lstStyle/>
        <a:p>
          <a:r>
            <a:rPr lang="fr-FR"/>
            <a:t>Début</a:t>
          </a:r>
        </a:p>
      </dgm:t>
    </dgm:pt>
    <dgm:pt modelId="{66276AB0-C7B4-431B-B2E5-24801D326D51}" type="parTrans" cxnId="{C6CA3B83-867B-434E-BE46-E8589EB0D8FD}">
      <dgm:prSet/>
      <dgm:spPr/>
      <dgm:t>
        <a:bodyPr/>
        <a:lstStyle/>
        <a:p>
          <a:endParaRPr lang="fr-FR"/>
        </a:p>
      </dgm:t>
    </dgm:pt>
    <dgm:pt modelId="{7E551D68-1F21-4390-B8BA-B3BF63D7CE0F}" type="sibTrans" cxnId="{C6CA3B83-867B-434E-BE46-E8589EB0D8FD}">
      <dgm:prSet/>
      <dgm:spPr/>
      <dgm:t>
        <a:bodyPr/>
        <a:lstStyle/>
        <a:p>
          <a:endParaRPr lang="fr-FR"/>
        </a:p>
      </dgm:t>
    </dgm:pt>
    <dgm:pt modelId="{C4AFED88-1CF5-48F2-ABA0-E6E5766633A5}">
      <dgm:prSet phldrT="[Texte]">
        <dgm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dgm:style>
      </dgm:prSet>
      <dgm:spPr/>
      <dgm:t>
        <a:bodyPr/>
        <a:lstStyle/>
        <a:p>
          <a:r>
            <a:rPr lang="fr-FR"/>
            <a:t>Saisonnalité </a:t>
          </a:r>
        </a:p>
      </dgm:t>
    </dgm:pt>
    <dgm:pt modelId="{5E1A5397-03C0-483C-BD25-91169A4D130F}" type="parTrans" cxnId="{AFD0D4BB-BE61-4644-B069-614ED799A4E2}">
      <dgm:prSet/>
      <dgm:spPr/>
      <dgm:t>
        <a:bodyPr/>
        <a:lstStyle/>
        <a:p>
          <a:endParaRPr lang="fr-FR"/>
        </a:p>
      </dgm:t>
    </dgm:pt>
    <dgm:pt modelId="{9DF1CD9C-9076-439E-B8E6-84D0996941FE}" type="sibTrans" cxnId="{AFD0D4BB-BE61-4644-B069-614ED799A4E2}">
      <dgm:prSet/>
      <dgm:spPr/>
      <dgm:t>
        <a:bodyPr/>
        <a:lstStyle/>
        <a:p>
          <a:endParaRPr lang="fr-FR"/>
        </a:p>
      </dgm:t>
    </dgm:pt>
    <dgm:pt modelId="{79C162F8-260D-4A7C-A753-1E927FEE8A59}">
      <dgm:prSet phldrT="[Texte]"/>
      <dgm:spPr/>
      <dgm:t>
        <a:bodyPr/>
        <a:lstStyle/>
        <a:p>
          <a:r>
            <a:rPr lang="fr-FR"/>
            <a:t>Création des mdls</a:t>
          </a:r>
        </a:p>
      </dgm:t>
    </dgm:pt>
    <dgm:pt modelId="{C6A760E5-51B8-498D-9904-904BCCA0D0A3}" type="parTrans" cxnId="{690DB4F0-07A0-4C18-A5DE-07247C1864EA}">
      <dgm:prSet/>
      <dgm:spPr/>
      <dgm:t>
        <a:bodyPr/>
        <a:lstStyle/>
        <a:p>
          <a:endParaRPr lang="fr-FR"/>
        </a:p>
      </dgm:t>
    </dgm:pt>
    <dgm:pt modelId="{50EADA34-9B2F-48AD-BC02-E0F9F4C28F57}" type="sibTrans" cxnId="{690DB4F0-07A0-4C18-A5DE-07247C1864EA}">
      <dgm:prSet/>
      <dgm:spPr/>
      <dgm:t>
        <a:bodyPr/>
        <a:lstStyle/>
        <a:p>
          <a:endParaRPr lang="fr-FR"/>
        </a:p>
      </dgm:t>
    </dgm:pt>
    <dgm:pt modelId="{38317B96-DAB9-4D9E-AB12-E054EFC1FCA4}" type="pres">
      <dgm:prSet presAssocID="{4378C4D9-399F-4594-B834-2BAAD2610118}" presName="Name0" presStyleCnt="0">
        <dgm:presLayoutVars>
          <dgm:dir/>
          <dgm:animLvl val="lvl"/>
          <dgm:resizeHandles val="exact"/>
        </dgm:presLayoutVars>
      </dgm:prSet>
      <dgm:spPr/>
    </dgm:pt>
    <dgm:pt modelId="{58DD638F-7D5C-4394-A014-56230C21EAAA}" type="pres">
      <dgm:prSet presAssocID="{202BF6E8-F7EC-4552-99D0-C5AA8F2278BB}" presName="parTxOnly" presStyleLbl="node1" presStyleIdx="0" presStyleCnt="3">
        <dgm:presLayoutVars>
          <dgm:chMax val="0"/>
          <dgm:chPref val="0"/>
          <dgm:bulletEnabled val="1"/>
        </dgm:presLayoutVars>
      </dgm:prSet>
      <dgm:spPr/>
    </dgm:pt>
    <dgm:pt modelId="{4FE82BB4-85B1-4091-B27E-842051A3A53C}" type="pres">
      <dgm:prSet presAssocID="{7E551D68-1F21-4390-B8BA-B3BF63D7CE0F}" presName="parTxOnlySpace" presStyleCnt="0"/>
      <dgm:spPr/>
    </dgm:pt>
    <dgm:pt modelId="{82944EBC-78BD-4D34-B2D5-808BC1BF53D4}" type="pres">
      <dgm:prSet presAssocID="{C4AFED88-1CF5-48F2-ABA0-E6E5766633A5}" presName="parTxOnly" presStyleLbl="node1" presStyleIdx="1" presStyleCnt="3">
        <dgm:presLayoutVars>
          <dgm:chMax val="0"/>
          <dgm:chPref val="0"/>
          <dgm:bulletEnabled val="1"/>
        </dgm:presLayoutVars>
      </dgm:prSet>
      <dgm:spPr/>
    </dgm:pt>
    <dgm:pt modelId="{BB11550C-9D6B-400E-8706-C516E4B5A08A}" type="pres">
      <dgm:prSet presAssocID="{9DF1CD9C-9076-439E-B8E6-84D0996941FE}" presName="parTxOnlySpace" presStyleCnt="0"/>
      <dgm:spPr/>
    </dgm:pt>
    <dgm:pt modelId="{C2ED9165-5216-4F70-BEDD-7998A9294710}" type="pres">
      <dgm:prSet presAssocID="{79C162F8-260D-4A7C-A753-1E927FEE8A59}" presName="parTxOnly" presStyleLbl="node1" presStyleIdx="2" presStyleCnt="3">
        <dgm:presLayoutVars>
          <dgm:chMax val="0"/>
          <dgm:chPref val="0"/>
          <dgm:bulletEnabled val="1"/>
        </dgm:presLayoutVars>
      </dgm:prSet>
      <dgm:spPr/>
    </dgm:pt>
  </dgm:ptLst>
  <dgm:cxnLst>
    <dgm:cxn modelId="{C6CA3B83-867B-434E-BE46-E8589EB0D8FD}" srcId="{4378C4D9-399F-4594-B834-2BAAD2610118}" destId="{202BF6E8-F7EC-4552-99D0-C5AA8F2278BB}" srcOrd="0" destOrd="0" parTransId="{66276AB0-C7B4-431B-B2E5-24801D326D51}" sibTransId="{7E551D68-1F21-4390-B8BA-B3BF63D7CE0F}"/>
    <dgm:cxn modelId="{A1ED5285-D64A-4EEC-A7A2-A8A7C57A4006}" type="presOf" srcId="{4378C4D9-399F-4594-B834-2BAAD2610118}" destId="{38317B96-DAB9-4D9E-AB12-E054EFC1FCA4}" srcOrd="0" destOrd="0" presId="urn:microsoft.com/office/officeart/2005/8/layout/chevron1"/>
    <dgm:cxn modelId="{E6A0FC8F-BFB0-4037-BCC9-EF508CA33726}" type="presOf" srcId="{C4AFED88-1CF5-48F2-ABA0-E6E5766633A5}" destId="{82944EBC-78BD-4D34-B2D5-808BC1BF53D4}" srcOrd="0" destOrd="0" presId="urn:microsoft.com/office/officeart/2005/8/layout/chevron1"/>
    <dgm:cxn modelId="{AFD0D4BB-BE61-4644-B069-614ED799A4E2}" srcId="{4378C4D9-399F-4594-B834-2BAAD2610118}" destId="{C4AFED88-1CF5-48F2-ABA0-E6E5766633A5}" srcOrd="1" destOrd="0" parTransId="{5E1A5397-03C0-483C-BD25-91169A4D130F}" sibTransId="{9DF1CD9C-9076-439E-B8E6-84D0996941FE}"/>
    <dgm:cxn modelId="{CEB966BC-E50C-4C48-AC8A-4730DAB17D80}" type="presOf" srcId="{202BF6E8-F7EC-4552-99D0-C5AA8F2278BB}" destId="{58DD638F-7D5C-4394-A014-56230C21EAAA}" srcOrd="0" destOrd="0" presId="urn:microsoft.com/office/officeart/2005/8/layout/chevron1"/>
    <dgm:cxn modelId="{8925F5E5-9A9E-4804-8E7B-120072EB4490}" type="presOf" srcId="{79C162F8-260D-4A7C-A753-1E927FEE8A59}" destId="{C2ED9165-5216-4F70-BEDD-7998A9294710}" srcOrd="0" destOrd="0" presId="urn:microsoft.com/office/officeart/2005/8/layout/chevron1"/>
    <dgm:cxn modelId="{690DB4F0-07A0-4C18-A5DE-07247C1864EA}" srcId="{4378C4D9-399F-4594-B834-2BAAD2610118}" destId="{79C162F8-260D-4A7C-A753-1E927FEE8A59}" srcOrd="2" destOrd="0" parTransId="{C6A760E5-51B8-498D-9904-904BCCA0D0A3}" sibTransId="{50EADA34-9B2F-48AD-BC02-E0F9F4C28F57}"/>
    <dgm:cxn modelId="{92C80465-0B12-4740-BB3D-E4DA8F477492}" type="presParOf" srcId="{38317B96-DAB9-4D9E-AB12-E054EFC1FCA4}" destId="{58DD638F-7D5C-4394-A014-56230C21EAAA}" srcOrd="0" destOrd="0" presId="urn:microsoft.com/office/officeart/2005/8/layout/chevron1"/>
    <dgm:cxn modelId="{B39C5076-C08C-4AA8-82B9-C27E620EFF7C}" type="presParOf" srcId="{38317B96-DAB9-4D9E-AB12-E054EFC1FCA4}" destId="{4FE82BB4-85B1-4091-B27E-842051A3A53C}" srcOrd="1" destOrd="0" presId="urn:microsoft.com/office/officeart/2005/8/layout/chevron1"/>
    <dgm:cxn modelId="{D893A00C-B851-4866-A2C2-253C2B9EC9B9}" type="presParOf" srcId="{38317B96-DAB9-4D9E-AB12-E054EFC1FCA4}" destId="{82944EBC-78BD-4D34-B2D5-808BC1BF53D4}" srcOrd="2" destOrd="0" presId="urn:microsoft.com/office/officeart/2005/8/layout/chevron1"/>
    <dgm:cxn modelId="{C8F935B5-620F-45C5-AD63-0504DCAF2722}" type="presParOf" srcId="{38317B96-DAB9-4D9E-AB12-E054EFC1FCA4}" destId="{BB11550C-9D6B-400E-8706-C516E4B5A08A}" srcOrd="3" destOrd="0" presId="urn:microsoft.com/office/officeart/2005/8/layout/chevron1"/>
    <dgm:cxn modelId="{05DFABCA-9A6E-4BAD-B481-42296D4B9C31}" type="presParOf" srcId="{38317B96-DAB9-4D9E-AB12-E054EFC1FCA4}" destId="{C2ED9165-5216-4F70-BEDD-7998A9294710}" srcOrd="4" destOrd="0" presId="urn:microsoft.com/office/officeart/2005/8/layout/chevron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8DD638F-7D5C-4394-A014-56230C21EAAA}">
      <dsp:nvSpPr>
        <dsp:cNvPr id="0" name=""/>
        <dsp:cNvSpPr/>
      </dsp:nvSpPr>
      <dsp:spPr>
        <a:xfrm>
          <a:off x="4042" y="0"/>
          <a:ext cx="4924841" cy="1828801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80023" tIns="60008" rIns="60008" bIns="60008" numCol="1" spcCol="1270" anchor="ctr" anchorCtr="0">
          <a:noAutofit/>
        </a:bodyPr>
        <a:lstStyle/>
        <a:p>
          <a:pPr marL="0" lvl="0" indent="0" algn="ctr" defTabSz="2000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4500" kern="1200"/>
            <a:t>Début</a:t>
          </a:r>
        </a:p>
      </dsp:txBody>
      <dsp:txXfrm>
        <a:off x="918443" y="0"/>
        <a:ext cx="3096040" cy="1828801"/>
      </dsp:txXfrm>
    </dsp:sp>
    <dsp:sp modelId="{82944EBC-78BD-4D34-B2D5-808BC1BF53D4}">
      <dsp:nvSpPr>
        <dsp:cNvPr id="0" name=""/>
        <dsp:cNvSpPr/>
      </dsp:nvSpPr>
      <dsp:spPr>
        <a:xfrm>
          <a:off x="4436400" y="0"/>
          <a:ext cx="4924841" cy="1828801"/>
        </a:xfrm>
        <a:prstGeom prst="chevron">
          <a:avLst/>
        </a:prstGeom>
        <a:solidFill>
          <a:schemeClr val="accent2"/>
        </a:solidFill>
        <a:ln w="12700" cap="flat" cmpd="sng" algn="ctr">
          <a:solidFill>
            <a:schemeClr val="accent2">
              <a:shade val="50000"/>
            </a:schemeClr>
          </a:solidFill>
          <a:prstDash val="solid"/>
          <a:miter lim="800000"/>
        </a:ln>
        <a:effectLst/>
      </dsp:spPr>
      <dsp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dsp:style>
      <dsp:txBody>
        <a:bodyPr spcFirstLastPara="0" vert="horz" wrap="square" lIns="180023" tIns="60008" rIns="60008" bIns="60008" numCol="1" spcCol="1270" anchor="ctr" anchorCtr="0">
          <a:noAutofit/>
        </a:bodyPr>
        <a:lstStyle/>
        <a:p>
          <a:pPr marL="0" lvl="0" indent="0" algn="ctr" defTabSz="2000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4500" kern="1200"/>
            <a:t>Saisonnalité </a:t>
          </a:r>
        </a:p>
      </dsp:txBody>
      <dsp:txXfrm>
        <a:off x="5350801" y="0"/>
        <a:ext cx="3096040" cy="1828801"/>
      </dsp:txXfrm>
    </dsp:sp>
    <dsp:sp modelId="{C2ED9165-5216-4F70-BEDD-7998A9294710}">
      <dsp:nvSpPr>
        <dsp:cNvPr id="0" name=""/>
        <dsp:cNvSpPr/>
      </dsp:nvSpPr>
      <dsp:spPr>
        <a:xfrm>
          <a:off x="8868757" y="0"/>
          <a:ext cx="4924841" cy="1828801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80023" tIns="60008" rIns="60008" bIns="60008" numCol="1" spcCol="1270" anchor="ctr" anchorCtr="0">
          <a:noAutofit/>
        </a:bodyPr>
        <a:lstStyle/>
        <a:p>
          <a:pPr marL="0" lvl="0" indent="0" algn="ctr" defTabSz="2000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4500" kern="1200"/>
            <a:t>Création des mdls</a:t>
          </a:r>
        </a:p>
      </dsp:txBody>
      <dsp:txXfrm>
        <a:off x="9783158" y="0"/>
        <a:ext cx="3096040" cy="1828801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chevron1">
  <dgm:title val=""/>
  <dgm:desc val=""/>
  <dgm:catLst>
    <dgm:cat type="process" pri="9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des" func="maxDepth" op="gte" val="2">
        <dgm:constrLst>
          <dgm:constr type="h" for="ch" forName="composite" refType="h"/>
          <dgm:constr type="w" for="ch" forName="composite" refType="w"/>
          <dgm:constr type="w" for="des" forName="parTx"/>
          <dgm:constr type="h" for="des" forName="parTx" op="equ"/>
          <dgm:constr type="w" for="des" forName="desTx"/>
          <dgm:constr type="h" for="des" forName="desTx" op="equ"/>
          <dgm:constr type="primFontSz" for="des" forName="parTx" val="65"/>
          <dgm:constr type="secFontSz" for="des" forName="desTx" refType="primFontSz" refFor="des" refForName="parTx" op="equ"/>
          <dgm:constr type="h" for="des" forName="parTx" refType="primFontSz" refFor="des" refForName="parTx" fact="1.5"/>
          <dgm:constr type="h" for="des" forName="desTx" refType="primFontSz" refFor="des" refForName="parTx" fact="0.5"/>
          <dgm:constr type="w" for="ch" forName="space" op="equ" val="-6"/>
        </dgm:constrLst>
        <dgm:ruleLst>
          <dgm:rule type="w" for="ch" forName="composite" val="0" fact="NaN" max="NaN"/>
          <dgm:rule type="primFontSz" for="des" forName="parTx" val="5" fact="NaN" max="NaN"/>
        </dgm:ruleLst>
        <dgm:forEach name="Name6" axis="ch" ptType="node"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hoose name="Name7">
              <dgm:if name="Name8" func="var" arg="dir" op="equ" val="norm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if>
              <dgm:else name="Name9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 refType="w" fact="0.2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else>
            </dgm:choose>
            <dgm:ruleLst>
              <dgm:rule type="h" val="INF" fact="NaN" max="NaN"/>
            </dgm:ruleLst>
            <dgm:layoutNode name="parTx">
              <dgm:varLst>
                <dgm:chMax val="0"/>
                <dgm:chPref val="0"/>
                <dgm:bulletEnabled val="1"/>
              </dgm:varLst>
              <dgm:alg type="tx"/>
              <dgm:choose name="Name10">
                <dgm:if name="Name11" func="var" arg="dir" op="equ" val="norm">
                  <dgm:shape xmlns:r="http://schemas.openxmlformats.org/officeDocument/2006/relationships" type="chevron" r:blip="">
                    <dgm:adjLst/>
                  </dgm:shape>
                </dgm:if>
                <dgm:else name="Name12">
                  <dgm:shape xmlns:r="http://schemas.openxmlformats.org/officeDocument/2006/relationships" rot="180" type="chevron" r:blip="">
                    <dgm:adjLst/>
                  </dgm:shape>
                </dgm:else>
              </dgm:choose>
              <dgm:presOf axis="self" ptType="node"/>
              <dgm:choose name="Name13">
                <dgm:if name="Name14" func="var" arg="dir" op="equ" val="norm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315"/>
                    <dgm:constr type="rMarg" refType="primFontSz" fact="0.105"/>
                  </dgm:constrLst>
                </dgm:if>
                <dgm:else name="Name15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105"/>
                    <dgm:constr type="rMarg" refType="primFontSz" fact="0.315"/>
                  </dgm:constrLst>
                </dgm:else>
              </dgm:choose>
              <dgm:ruleLst>
                <dgm:rule type="h" val="INF" fact="NaN" max="NaN"/>
              </dgm:ruleLst>
            </dgm:layoutNode>
            <dgm:layoutNode name="desTx" styleLbl="revTx">
              <dgm:varLst>
                <dgm:bulletEnabled val="1"/>
              </dgm:varLst>
              <dgm:alg type="tx">
                <dgm:param type="stBulletLvl" val="1"/>
              </dgm:alg>
              <dgm:choose name="Name16">
                <dgm:if name="Name17" axis="ch" ptType="node" func="cnt" op="gte" val="1">
                  <dgm:shape xmlns:r="http://schemas.openxmlformats.org/officeDocument/2006/relationships" type="rect" r:blip="">
                    <dgm:adjLst/>
                  </dgm:shape>
                </dgm:if>
                <dgm:else name="Name18">
                  <dgm:shape xmlns:r="http://schemas.openxmlformats.org/officeDocument/2006/relationships" type="rect" r:blip="" hideGeom="1">
                    <dgm:adjLst/>
                  </dgm:shape>
                </dgm:else>
              </dgm:choose>
              <dgm:presOf axis="des" ptType="node"/>
              <dgm:constrLst>
                <dgm:constr type="secFontSz" val="65"/>
                <dgm:constr type="primFontSz" refType="secFontSz"/>
                <dgm:constr type="h"/>
                <dgm:constr type="tMarg"/>
                <dgm:constr type="bMarg"/>
                <dgm:constr type="rMarg"/>
                <dgm:constr type="lMarg"/>
              </dgm:constrLst>
              <dgm:ruleLst>
                <dgm:rule type="h" val="INF" fact="NaN" max="NaN"/>
              </dgm:ruleLst>
            </dgm:layoutNode>
          </dgm:layoutNode>
          <dgm:forEach name="Name19" axis="followSib" ptType="sibTrans" cnt="1">
            <dgm:layoutNode name="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if>
      <dgm:else name="Name20">
        <dgm:constrLst>
          <dgm:constr type="w" for="ch" forName="parTxOnly" refType="w"/>
          <dgm:constr type="h" for="des" forName="parTxOnly" op="equ"/>
          <dgm:constr type="primFontSz" for="des" forName="parTxOnly" op="equ" val="65"/>
          <dgm:constr type="w" for="ch" forName="parTxOnlySpace" refType="w" refFor="ch" refForName="parTxOnly" fact="-0.1"/>
        </dgm:constrLst>
        <dgm:ruleLst/>
        <dgm:forEach name="Name21" axis="ch" ptType="node">
          <dgm:layoutNode name="parTxOnly">
            <dgm:varLst>
              <dgm:chMax val="0"/>
              <dgm:chPref val="0"/>
              <dgm:bulletEnabled val="1"/>
            </dgm:varLst>
            <dgm:alg type="tx"/>
            <dgm:choose name="Name22">
              <dgm:if name="Name23" func="var" arg="dir" op="equ" val="norm">
                <dgm:shape xmlns:r="http://schemas.openxmlformats.org/officeDocument/2006/relationships" type="chevron" r:blip="">
                  <dgm:adjLst/>
                </dgm:shape>
              </dgm:if>
              <dgm:else name="Name24">
                <dgm:shape xmlns:r="http://schemas.openxmlformats.org/officeDocument/2006/relationships" rot="180" type="chevron" r:blip="">
                  <dgm:adjLst/>
                </dgm:shape>
              </dgm:else>
            </dgm:choose>
            <dgm:presOf axis="self" ptType="node"/>
            <dgm:choose name="Name25">
              <dgm:if name="Name26" func="var" arg="dir" op="equ" val="norm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315"/>
                  <dgm:constr type="rMarg" refType="primFontSz" fact="0.105"/>
                </dgm:constrLst>
              </dgm:if>
              <dgm:else name="Name27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105"/>
                  <dgm:constr type="rMarg" refType="primFontSz" fact="0.315"/>
                </dgm:constrLst>
              </dgm:else>
            </dgm:choose>
            <dgm:ruleLst>
              <dgm:rule type="primFontSz" val="5" fact="NaN" max="NaN"/>
            </dgm:ruleLst>
          </dgm:layoutNode>
          <dgm:forEach name="Name28" axis="followSib" ptType="sibTrans" cnt="1">
            <dgm:layoutNode name="parTxOnly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440871</xdr:colOff>
          <xdr:row>11</xdr:row>
          <xdr:rowOff>5443</xdr:rowOff>
        </xdr:from>
        <xdr:to>
          <xdr:col>4</xdr:col>
          <xdr:colOff>348343</xdr:colOff>
          <xdr:row>13</xdr:row>
          <xdr:rowOff>5443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43542</xdr:rowOff>
    </xdr:from>
    <xdr:to>
      <xdr:col>17</xdr:col>
      <xdr:colOff>473528</xdr:colOff>
      <xdr:row>10</xdr:row>
      <xdr:rowOff>21772</xdr:rowOff>
    </xdr:to>
    <xdr:graphicFrame macro="">
      <xdr:nvGraphicFramePr>
        <xdr:cNvPr id="2" name="Diagramm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435429</xdr:colOff>
          <xdr:row>10</xdr:row>
          <xdr:rowOff>179615</xdr:rowOff>
        </xdr:from>
        <xdr:to>
          <xdr:col>10</xdr:col>
          <xdr:colOff>342900</xdr:colOff>
          <xdr:row>13</xdr:row>
          <xdr:rowOff>10886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Calculer MM(p)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549729</xdr:colOff>
          <xdr:row>10</xdr:row>
          <xdr:rowOff>146957</xdr:rowOff>
        </xdr:from>
        <xdr:to>
          <xdr:col>16</xdr:col>
          <xdr:colOff>457200</xdr:colOff>
          <xdr:row>13</xdr:row>
          <xdr:rowOff>16328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Calculer linéaire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555172</xdr:colOff>
          <xdr:row>13</xdr:row>
          <xdr:rowOff>179615</xdr:rowOff>
        </xdr:from>
        <xdr:to>
          <xdr:col>16</xdr:col>
          <xdr:colOff>462643</xdr:colOff>
          <xdr:row>15</xdr:row>
          <xdr:rowOff>179614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Calculer poly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435428</xdr:colOff>
          <xdr:row>14</xdr:row>
          <xdr:rowOff>10886</xdr:rowOff>
        </xdr:from>
        <xdr:to>
          <xdr:col>10</xdr:col>
          <xdr:colOff>342900</xdr:colOff>
          <xdr:row>15</xdr:row>
          <xdr:rowOff>179614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Saisonnalité 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304799</xdr:colOff>
      <xdr:row>2</xdr:row>
      <xdr:rowOff>136071</xdr:rowOff>
    </xdr:from>
    <xdr:to>
      <xdr:col>11</xdr:col>
      <xdr:colOff>174170</xdr:colOff>
      <xdr:row>17</xdr:row>
      <xdr:rowOff>103414</xdr:rowOff>
    </xdr:to>
    <xdr:graphicFrame macro="">
      <xdr:nvGraphicFramePr>
        <xdr:cNvPr id="2" name="Saisonnalité des X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ement combier" refreshedDate="44907.786357407407" createdVersion="8" refreshedVersion="8" minRefreshableVersion="3" recordCount="141" xr:uid="{6D4CB46A-B29C-4819-A69F-D7CC059C5F13}">
  <cacheSource type="worksheet">
    <worksheetSource ref="A1:F1048576" sheet="DATA"/>
  </cacheSource>
  <cacheFields count="6">
    <cacheField name="semaine" numFmtId="0">
      <sharedItems containsString="0" containsBlank="1" containsNumber="1" containsInteger="1" minValue="1" maxValue="20"/>
    </cacheField>
    <cacheField name="jour" numFmtId="0">
      <sharedItems containsBlank="1" count="8">
        <s v="lundi"/>
        <s v="mardi"/>
        <s v="mercredi"/>
        <s v="jeudi"/>
        <s v="vendredi"/>
        <s v="samedi"/>
        <s v="dimanche"/>
        <m/>
      </sharedItems>
    </cacheField>
    <cacheField name="t" numFmtId="0">
      <sharedItems containsString="0" containsBlank="1" containsNumber="1" containsInteger="1" minValue="1" maxValue="140"/>
    </cacheField>
    <cacheField name="t²" numFmtId="0">
      <sharedItems containsString="0" containsBlank="1" containsNumber="1" containsInteger="1" minValue="1" maxValue="19600"/>
    </cacheField>
    <cacheField name="t3" numFmtId="0">
      <sharedItems containsString="0" containsBlank="1" containsNumber="1" containsInteger="1" minValue="1" maxValue="2744000"/>
    </cacheField>
    <cacheField name="visites" numFmtId="0">
      <sharedItems containsString="0" containsBlank="1" containsNumber="1" containsInteger="1" minValue="339" maxValue="14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">
  <r>
    <n v="1"/>
    <x v="0"/>
    <n v="1"/>
    <n v="1"/>
    <n v="1"/>
    <n v="693"/>
  </r>
  <r>
    <n v="1"/>
    <x v="1"/>
    <n v="2"/>
    <n v="4"/>
    <n v="8"/>
    <n v="695"/>
  </r>
  <r>
    <n v="1"/>
    <x v="2"/>
    <n v="3"/>
    <n v="9"/>
    <n v="27"/>
    <n v="597"/>
  </r>
  <r>
    <n v="1"/>
    <x v="3"/>
    <n v="4"/>
    <n v="16"/>
    <n v="64"/>
    <n v="645"/>
  </r>
  <r>
    <n v="1"/>
    <x v="4"/>
    <n v="5"/>
    <n v="25"/>
    <n v="125"/>
    <n v="548"/>
  </r>
  <r>
    <n v="1"/>
    <x v="5"/>
    <n v="6"/>
    <n v="36"/>
    <n v="216"/>
    <n v="387"/>
  </r>
  <r>
    <n v="1"/>
    <x v="6"/>
    <n v="7"/>
    <n v="49"/>
    <n v="343"/>
    <n v="554"/>
  </r>
  <r>
    <n v="2"/>
    <x v="0"/>
    <n v="8"/>
    <n v="64"/>
    <n v="512"/>
    <n v="620"/>
  </r>
  <r>
    <n v="2"/>
    <x v="1"/>
    <n v="9"/>
    <n v="81"/>
    <n v="729"/>
    <n v="674"/>
  </r>
  <r>
    <n v="2"/>
    <x v="2"/>
    <n v="10"/>
    <n v="100"/>
    <n v="1000"/>
    <n v="680"/>
  </r>
  <r>
    <n v="2"/>
    <x v="3"/>
    <n v="11"/>
    <n v="121"/>
    <n v="1331"/>
    <n v="656"/>
  </r>
  <r>
    <n v="2"/>
    <x v="4"/>
    <n v="12"/>
    <n v="144"/>
    <n v="1728"/>
    <n v="490"/>
  </r>
  <r>
    <n v="2"/>
    <x v="5"/>
    <n v="13"/>
    <n v="169"/>
    <n v="2197"/>
    <n v="339"/>
  </r>
  <r>
    <n v="2"/>
    <x v="6"/>
    <n v="14"/>
    <n v="196"/>
    <n v="2744"/>
    <n v="514"/>
  </r>
  <r>
    <n v="3"/>
    <x v="0"/>
    <n v="15"/>
    <n v="225"/>
    <n v="3375"/>
    <n v="669"/>
  </r>
  <r>
    <n v="3"/>
    <x v="1"/>
    <n v="16"/>
    <n v="256"/>
    <n v="4096"/>
    <n v="660"/>
  </r>
  <r>
    <n v="3"/>
    <x v="2"/>
    <n v="17"/>
    <n v="289"/>
    <n v="4913"/>
    <n v="894"/>
  </r>
  <r>
    <n v="3"/>
    <x v="3"/>
    <n v="18"/>
    <n v="324"/>
    <n v="5832"/>
    <n v="824"/>
  </r>
  <r>
    <n v="3"/>
    <x v="4"/>
    <n v="19"/>
    <n v="361"/>
    <n v="6859"/>
    <n v="653"/>
  </r>
  <r>
    <n v="3"/>
    <x v="5"/>
    <n v="20"/>
    <n v="400"/>
    <n v="8000"/>
    <n v="480"/>
  </r>
  <r>
    <n v="3"/>
    <x v="6"/>
    <n v="21"/>
    <n v="441"/>
    <n v="9261"/>
    <n v="625"/>
  </r>
  <r>
    <n v="4"/>
    <x v="0"/>
    <n v="22"/>
    <n v="484"/>
    <n v="10648"/>
    <n v="883"/>
  </r>
  <r>
    <n v="4"/>
    <x v="1"/>
    <n v="23"/>
    <n v="529"/>
    <n v="12167"/>
    <n v="871"/>
  </r>
  <r>
    <n v="4"/>
    <x v="2"/>
    <n v="24"/>
    <n v="576"/>
    <n v="13824"/>
    <n v="834"/>
  </r>
  <r>
    <n v="4"/>
    <x v="3"/>
    <n v="25"/>
    <n v="625"/>
    <n v="15625"/>
    <n v="754"/>
  </r>
  <r>
    <n v="4"/>
    <x v="4"/>
    <n v="26"/>
    <n v="676"/>
    <n v="17576"/>
    <n v="641"/>
  </r>
  <r>
    <n v="4"/>
    <x v="5"/>
    <n v="27"/>
    <n v="729"/>
    <n v="19683"/>
    <n v="456"/>
  </r>
  <r>
    <n v="4"/>
    <x v="6"/>
    <n v="28"/>
    <n v="784"/>
    <n v="21952"/>
    <n v="686"/>
  </r>
  <r>
    <n v="5"/>
    <x v="0"/>
    <n v="29"/>
    <n v="841"/>
    <n v="24389"/>
    <n v="906"/>
  </r>
  <r>
    <n v="5"/>
    <x v="1"/>
    <n v="30"/>
    <n v="900"/>
    <n v="27000"/>
    <n v="907"/>
  </r>
  <r>
    <n v="5"/>
    <x v="2"/>
    <n v="31"/>
    <n v="961"/>
    <n v="29791"/>
    <n v="938"/>
  </r>
  <r>
    <n v="5"/>
    <x v="3"/>
    <n v="32"/>
    <n v="1024"/>
    <n v="32768"/>
    <n v="845"/>
  </r>
  <r>
    <n v="5"/>
    <x v="4"/>
    <n v="33"/>
    <n v="1089"/>
    <n v="35937"/>
    <n v="744"/>
  </r>
  <r>
    <n v="5"/>
    <x v="5"/>
    <n v="34"/>
    <n v="1156"/>
    <n v="39304"/>
    <n v="491"/>
  </r>
  <r>
    <n v="5"/>
    <x v="6"/>
    <n v="35"/>
    <n v="1225"/>
    <n v="42875"/>
    <n v="648"/>
  </r>
  <r>
    <n v="6"/>
    <x v="0"/>
    <n v="36"/>
    <n v="1296"/>
    <n v="46656"/>
    <n v="973"/>
  </r>
  <r>
    <n v="6"/>
    <x v="1"/>
    <n v="37"/>
    <n v="1369"/>
    <n v="50653"/>
    <n v="905"/>
  </r>
  <r>
    <n v="6"/>
    <x v="2"/>
    <n v="38"/>
    <n v="1444"/>
    <n v="54872"/>
    <n v="917"/>
  </r>
  <r>
    <n v="6"/>
    <x v="3"/>
    <n v="39"/>
    <n v="1521"/>
    <n v="59319"/>
    <n v="860"/>
  </r>
  <r>
    <n v="6"/>
    <x v="4"/>
    <n v="40"/>
    <n v="1600"/>
    <n v="64000"/>
    <n v="700"/>
  </r>
  <r>
    <n v="6"/>
    <x v="5"/>
    <n v="41"/>
    <n v="1681"/>
    <n v="68921"/>
    <n v="423"/>
  </r>
  <r>
    <n v="6"/>
    <x v="6"/>
    <n v="42"/>
    <n v="1764"/>
    <n v="74088"/>
    <n v="587"/>
  </r>
  <r>
    <n v="7"/>
    <x v="0"/>
    <n v="43"/>
    <n v="1849"/>
    <n v="79507"/>
    <n v="894"/>
  </r>
  <r>
    <n v="7"/>
    <x v="1"/>
    <n v="44"/>
    <n v="1936"/>
    <n v="85184"/>
    <n v="924"/>
  </r>
  <r>
    <n v="7"/>
    <x v="2"/>
    <n v="45"/>
    <n v="2025"/>
    <n v="91125"/>
    <n v="874"/>
  </r>
  <r>
    <n v="7"/>
    <x v="3"/>
    <n v="46"/>
    <n v="2116"/>
    <n v="97336"/>
    <n v="790"/>
  </r>
  <r>
    <n v="7"/>
    <x v="4"/>
    <n v="47"/>
    <n v="2209"/>
    <n v="103823"/>
    <n v="656"/>
  </r>
  <r>
    <n v="7"/>
    <x v="5"/>
    <n v="48"/>
    <n v="2304"/>
    <n v="110592"/>
    <n v="439"/>
  </r>
  <r>
    <n v="7"/>
    <x v="6"/>
    <n v="49"/>
    <n v="2401"/>
    <n v="117649"/>
    <n v="583"/>
  </r>
  <r>
    <n v="8"/>
    <x v="0"/>
    <n v="50"/>
    <n v="2500"/>
    <n v="125000"/>
    <n v="840"/>
  </r>
  <r>
    <n v="8"/>
    <x v="1"/>
    <n v="51"/>
    <n v="2601"/>
    <n v="132651"/>
    <n v="943"/>
  </r>
  <r>
    <n v="8"/>
    <x v="2"/>
    <n v="52"/>
    <n v="2704"/>
    <n v="140608"/>
    <n v="879"/>
  </r>
  <r>
    <n v="8"/>
    <x v="3"/>
    <n v="53"/>
    <n v="2809"/>
    <n v="148877"/>
    <n v="834"/>
  </r>
  <r>
    <n v="8"/>
    <x v="4"/>
    <n v="54"/>
    <n v="2916"/>
    <n v="157464"/>
    <n v="669"/>
  </r>
  <r>
    <n v="8"/>
    <x v="5"/>
    <n v="55"/>
    <n v="3025"/>
    <n v="166375"/>
    <n v="453"/>
  </r>
  <r>
    <n v="8"/>
    <x v="6"/>
    <n v="56"/>
    <n v="3136"/>
    <n v="175616"/>
    <n v="692"/>
  </r>
  <r>
    <n v="9"/>
    <x v="0"/>
    <n v="57"/>
    <n v="3249"/>
    <n v="185193"/>
    <n v="1033"/>
  </r>
  <r>
    <n v="9"/>
    <x v="1"/>
    <n v="58"/>
    <n v="3364"/>
    <n v="195112"/>
    <n v="1037"/>
  </r>
  <r>
    <n v="9"/>
    <x v="2"/>
    <n v="59"/>
    <n v="3481"/>
    <n v="205379"/>
    <n v="1011"/>
  </r>
  <r>
    <n v="9"/>
    <x v="3"/>
    <n v="60"/>
    <n v="3600"/>
    <n v="216000"/>
    <n v="926"/>
  </r>
  <r>
    <n v="9"/>
    <x v="4"/>
    <n v="61"/>
    <n v="3721"/>
    <n v="226981"/>
    <n v="729"/>
  </r>
  <r>
    <n v="9"/>
    <x v="5"/>
    <n v="62"/>
    <n v="3844"/>
    <n v="238328"/>
    <n v="502"/>
  </r>
  <r>
    <n v="9"/>
    <x v="6"/>
    <n v="63"/>
    <n v="3969"/>
    <n v="250047"/>
    <n v="654"/>
  </r>
  <r>
    <n v="10"/>
    <x v="0"/>
    <n v="64"/>
    <n v="4096"/>
    <n v="262144"/>
    <n v="1026"/>
  </r>
  <r>
    <n v="10"/>
    <x v="1"/>
    <n v="65"/>
    <n v="4225"/>
    <n v="274625"/>
    <n v="989"/>
  </r>
  <r>
    <n v="10"/>
    <x v="2"/>
    <n v="66"/>
    <n v="4356"/>
    <n v="287496"/>
    <n v="923"/>
  </r>
  <r>
    <n v="10"/>
    <x v="3"/>
    <n v="67"/>
    <n v="4489"/>
    <n v="300763"/>
    <n v="932"/>
  </r>
  <r>
    <n v="10"/>
    <x v="4"/>
    <n v="68"/>
    <n v="4624"/>
    <n v="314432"/>
    <n v="734"/>
  </r>
  <r>
    <n v="10"/>
    <x v="5"/>
    <n v="69"/>
    <n v="4761"/>
    <n v="328509"/>
    <n v="551"/>
  </r>
  <r>
    <n v="10"/>
    <x v="6"/>
    <n v="70"/>
    <n v="4900"/>
    <n v="343000"/>
    <n v="746"/>
  </r>
  <r>
    <n v="11"/>
    <x v="0"/>
    <n v="71"/>
    <n v="5041"/>
    <n v="357911"/>
    <n v="1039"/>
  </r>
  <r>
    <n v="11"/>
    <x v="1"/>
    <n v="72"/>
    <n v="5184"/>
    <n v="373248"/>
    <n v="1009"/>
  </r>
  <r>
    <n v="11"/>
    <x v="2"/>
    <n v="73"/>
    <n v="5329"/>
    <n v="389017"/>
    <n v="1076"/>
  </r>
  <r>
    <n v="11"/>
    <x v="3"/>
    <n v="74"/>
    <n v="5476"/>
    <n v="405224"/>
    <n v="940"/>
  </r>
  <r>
    <n v="11"/>
    <x v="4"/>
    <n v="75"/>
    <n v="5625"/>
    <n v="421875"/>
    <n v="747"/>
  </r>
  <r>
    <n v="11"/>
    <x v="5"/>
    <n v="76"/>
    <n v="5776"/>
    <n v="438976"/>
    <n v="540"/>
  </r>
  <r>
    <n v="11"/>
    <x v="6"/>
    <n v="77"/>
    <n v="5929"/>
    <n v="456533"/>
    <n v="724"/>
  </r>
  <r>
    <n v="12"/>
    <x v="0"/>
    <n v="78"/>
    <n v="6084"/>
    <n v="474552"/>
    <n v="1039"/>
  </r>
  <r>
    <n v="12"/>
    <x v="1"/>
    <n v="79"/>
    <n v="6241"/>
    <n v="493039"/>
    <n v="1046"/>
  </r>
  <r>
    <n v="12"/>
    <x v="2"/>
    <n v="80"/>
    <n v="6400"/>
    <n v="512000"/>
    <n v="1095"/>
  </r>
  <r>
    <n v="12"/>
    <x v="3"/>
    <n v="81"/>
    <n v="6561"/>
    <n v="531441"/>
    <n v="929"/>
  </r>
  <r>
    <n v="12"/>
    <x v="4"/>
    <n v="82"/>
    <n v="6724"/>
    <n v="551368"/>
    <n v="790"/>
  </r>
  <r>
    <n v="12"/>
    <x v="5"/>
    <n v="83"/>
    <n v="6889"/>
    <n v="571787"/>
    <n v="529"/>
  </r>
  <r>
    <n v="12"/>
    <x v="6"/>
    <n v="84"/>
    <n v="7056"/>
    <n v="592704"/>
    <n v="742"/>
  </r>
  <r>
    <n v="13"/>
    <x v="0"/>
    <n v="85"/>
    <n v="7225"/>
    <n v="614125"/>
    <n v="1024"/>
  </r>
  <r>
    <n v="13"/>
    <x v="1"/>
    <n v="86"/>
    <n v="7396"/>
    <n v="636056"/>
    <n v="1096"/>
  </r>
  <r>
    <n v="13"/>
    <x v="2"/>
    <n v="87"/>
    <n v="7569"/>
    <n v="658503"/>
    <n v="1074"/>
  </r>
  <r>
    <n v="13"/>
    <x v="3"/>
    <n v="88"/>
    <n v="7744"/>
    <n v="681472"/>
    <n v="925"/>
  </r>
  <r>
    <n v="13"/>
    <x v="4"/>
    <n v="89"/>
    <n v="7921"/>
    <n v="704969"/>
    <n v="656"/>
  </r>
  <r>
    <n v="13"/>
    <x v="5"/>
    <n v="90"/>
    <n v="8100"/>
    <n v="729000"/>
    <n v="414"/>
  </r>
  <r>
    <n v="13"/>
    <x v="6"/>
    <n v="91"/>
    <n v="8281"/>
    <n v="753571"/>
    <n v="454"/>
  </r>
  <r>
    <n v="14"/>
    <x v="0"/>
    <n v="92"/>
    <n v="8464"/>
    <n v="778688"/>
    <n v="693"/>
  </r>
  <r>
    <n v="14"/>
    <x v="1"/>
    <n v="93"/>
    <n v="8649"/>
    <n v="804357"/>
    <n v="1017"/>
  </r>
  <r>
    <n v="14"/>
    <x v="2"/>
    <n v="94"/>
    <n v="8836"/>
    <n v="830584"/>
    <n v="1021"/>
  </r>
  <r>
    <n v="14"/>
    <x v="3"/>
    <n v="95"/>
    <n v="9025"/>
    <n v="857375"/>
    <n v="949"/>
  </r>
  <r>
    <n v="14"/>
    <x v="4"/>
    <n v="96"/>
    <n v="9216"/>
    <n v="884736"/>
    <n v="801"/>
  </r>
  <r>
    <n v="14"/>
    <x v="5"/>
    <n v="97"/>
    <n v="9409"/>
    <n v="912673"/>
    <n v="485"/>
  </r>
  <r>
    <n v="14"/>
    <x v="6"/>
    <n v="98"/>
    <n v="9604"/>
    <n v="941192"/>
    <n v="619"/>
  </r>
  <r>
    <n v="15"/>
    <x v="0"/>
    <n v="99"/>
    <n v="9801"/>
    <n v="970299"/>
    <n v="1030"/>
  </r>
  <r>
    <n v="15"/>
    <x v="1"/>
    <n v="100"/>
    <n v="10000"/>
    <n v="1000000"/>
    <n v="1017"/>
  </r>
  <r>
    <n v="15"/>
    <x v="2"/>
    <n v="101"/>
    <n v="10201"/>
    <n v="1030301"/>
    <n v="1054"/>
  </r>
  <r>
    <n v="15"/>
    <x v="3"/>
    <n v="102"/>
    <n v="10404"/>
    <n v="1061208"/>
    <n v="1009"/>
  </r>
  <r>
    <n v="15"/>
    <x v="4"/>
    <n v="103"/>
    <n v="10609"/>
    <n v="1092727"/>
    <n v="840"/>
  </r>
  <r>
    <n v="15"/>
    <x v="5"/>
    <n v="104"/>
    <n v="10816"/>
    <n v="1124864"/>
    <n v="503"/>
  </r>
  <r>
    <n v="15"/>
    <x v="6"/>
    <n v="105"/>
    <n v="11025"/>
    <n v="1157625"/>
    <n v="601"/>
  </r>
  <r>
    <n v="16"/>
    <x v="0"/>
    <n v="106"/>
    <n v="11236"/>
    <n v="1191016"/>
    <n v="1063"/>
  </r>
  <r>
    <n v="16"/>
    <x v="1"/>
    <n v="107"/>
    <n v="11449"/>
    <n v="1225043"/>
    <n v="1113"/>
  </r>
  <r>
    <n v="16"/>
    <x v="2"/>
    <n v="108"/>
    <n v="11664"/>
    <n v="1259712"/>
    <n v="1113"/>
  </r>
  <r>
    <n v="16"/>
    <x v="3"/>
    <n v="109"/>
    <n v="11881"/>
    <n v="1295029"/>
    <n v="1092"/>
  </r>
  <r>
    <n v="16"/>
    <x v="4"/>
    <n v="110"/>
    <n v="12100"/>
    <n v="1331000"/>
    <n v="903"/>
  </r>
  <r>
    <n v="16"/>
    <x v="5"/>
    <n v="111"/>
    <n v="12321"/>
    <n v="1367631"/>
    <n v="524"/>
  </r>
  <r>
    <n v="16"/>
    <x v="6"/>
    <n v="112"/>
    <n v="12544"/>
    <n v="1404928"/>
    <n v="690"/>
  </r>
  <r>
    <n v="17"/>
    <x v="0"/>
    <n v="113"/>
    <n v="12769"/>
    <n v="1442897"/>
    <n v="1279"/>
  </r>
  <r>
    <n v="17"/>
    <x v="1"/>
    <n v="114"/>
    <n v="12996"/>
    <n v="1481544"/>
    <n v="1213"/>
  </r>
  <r>
    <n v="17"/>
    <x v="2"/>
    <n v="115"/>
    <n v="13225"/>
    <n v="1520875"/>
    <n v="1269"/>
  </r>
  <r>
    <n v="17"/>
    <x v="3"/>
    <n v="116"/>
    <n v="13456"/>
    <n v="1560896"/>
    <n v="1159"/>
  </r>
  <r>
    <n v="17"/>
    <x v="4"/>
    <n v="117"/>
    <n v="13689"/>
    <n v="1601613"/>
    <n v="1010"/>
  </r>
  <r>
    <n v="17"/>
    <x v="5"/>
    <n v="118"/>
    <n v="13924"/>
    <n v="1643032"/>
    <n v="719"/>
  </r>
  <r>
    <n v="17"/>
    <x v="6"/>
    <n v="119"/>
    <n v="14161"/>
    <n v="1685159"/>
    <n v="940"/>
  </r>
  <r>
    <n v="18"/>
    <x v="0"/>
    <n v="120"/>
    <n v="14400"/>
    <n v="1728000"/>
    <n v="1369"/>
  </r>
  <r>
    <n v="18"/>
    <x v="1"/>
    <n v="121"/>
    <n v="14641"/>
    <n v="1771561"/>
    <n v="1397"/>
  </r>
  <r>
    <n v="18"/>
    <x v="2"/>
    <n v="122"/>
    <n v="14884"/>
    <n v="1815848"/>
    <n v="1410"/>
  </r>
  <r>
    <n v="18"/>
    <x v="3"/>
    <n v="123"/>
    <n v="15129"/>
    <n v="1860867"/>
    <n v="1323"/>
  </r>
  <r>
    <n v="18"/>
    <x v="4"/>
    <n v="124"/>
    <n v="15376"/>
    <n v="1906624"/>
    <n v="1073"/>
  </r>
  <r>
    <n v="18"/>
    <x v="5"/>
    <n v="125"/>
    <n v="15625"/>
    <n v="1953125"/>
    <n v="726"/>
  </r>
  <r>
    <n v="18"/>
    <x v="6"/>
    <n v="126"/>
    <n v="15876"/>
    <n v="2000376"/>
    <n v="1120"/>
  </r>
  <r>
    <n v="19"/>
    <x v="0"/>
    <n v="127"/>
    <n v="16129"/>
    <n v="2048383"/>
    <m/>
  </r>
  <r>
    <n v="19"/>
    <x v="1"/>
    <n v="128"/>
    <n v="16384"/>
    <n v="2097152"/>
    <m/>
  </r>
  <r>
    <n v="19"/>
    <x v="2"/>
    <n v="129"/>
    <n v="16641"/>
    <n v="2146689"/>
    <m/>
  </r>
  <r>
    <n v="19"/>
    <x v="3"/>
    <n v="130"/>
    <n v="16900"/>
    <n v="2197000"/>
    <m/>
  </r>
  <r>
    <n v="19"/>
    <x v="4"/>
    <n v="131"/>
    <n v="17161"/>
    <n v="2248091"/>
    <m/>
  </r>
  <r>
    <n v="19"/>
    <x v="5"/>
    <n v="132"/>
    <n v="17424"/>
    <n v="2299968"/>
    <m/>
  </r>
  <r>
    <n v="19"/>
    <x v="6"/>
    <n v="133"/>
    <n v="17689"/>
    <n v="2352637"/>
    <m/>
  </r>
  <r>
    <n v="20"/>
    <x v="0"/>
    <n v="134"/>
    <n v="17956"/>
    <n v="2406104"/>
    <m/>
  </r>
  <r>
    <n v="20"/>
    <x v="1"/>
    <n v="135"/>
    <n v="18225"/>
    <n v="2460375"/>
    <m/>
  </r>
  <r>
    <n v="20"/>
    <x v="2"/>
    <n v="136"/>
    <n v="18496"/>
    <n v="2515456"/>
    <m/>
  </r>
  <r>
    <n v="20"/>
    <x v="3"/>
    <n v="137"/>
    <n v="18769"/>
    <n v="2571353"/>
    <m/>
  </r>
  <r>
    <n v="20"/>
    <x v="4"/>
    <n v="138"/>
    <n v="19044"/>
    <n v="2628072"/>
    <m/>
  </r>
  <r>
    <n v="20"/>
    <x v="5"/>
    <n v="139"/>
    <n v="19321"/>
    <n v="2685619"/>
    <m/>
  </r>
  <r>
    <n v="20"/>
    <x v="6"/>
    <n v="140"/>
    <n v="19600"/>
    <n v="2744000"/>
    <m/>
  </r>
  <r>
    <m/>
    <x v="7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14A551-344B-4881-87DC-9DB0233AE495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A3:B11" firstHeaderRow="1" firstDataRow="1" firstDataCol="1"/>
  <pivotFields count="6">
    <pivotField showAll="0"/>
    <pivotField axis="axisRow" showAll="0">
      <items count="9">
        <item x="0"/>
        <item x="1"/>
        <item x="2"/>
        <item x="3"/>
        <item x="4"/>
        <item x="5"/>
        <item x="6"/>
        <item h="1" x="7"/>
        <item t="default"/>
      </items>
    </pivotField>
    <pivotField showAll="0"/>
    <pivotField showAll="0"/>
    <pivotField showAll="0"/>
    <pivotField dataField="1"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Moyenne de visites" fld="5" subtotal="average" baseField="1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0CB59-1F2F-424D-A899-323DE2167148}">
  <sheetPr codeName="Feuil3"/>
  <dimension ref="H13:J14"/>
  <sheetViews>
    <sheetView workbookViewId="0">
      <selection activeCell="M21" sqref="M21"/>
    </sheetView>
  </sheetViews>
  <sheetFormatPr baseColWidth="10" defaultRowHeight="14.6" x14ac:dyDescent="0.4"/>
  <sheetData>
    <row r="13" spans="8:10" x14ac:dyDescent="0.4">
      <c r="H13" s="15"/>
      <c r="I13" s="15"/>
      <c r="J13" s="16"/>
    </row>
    <row r="14" spans="8:10" x14ac:dyDescent="0.4">
      <c r="H14" s="15"/>
      <c r="I14" s="15"/>
      <c r="J14" s="16"/>
    </row>
  </sheetData>
  <mergeCells count="2">
    <mergeCell ref="H13:I14"/>
    <mergeCell ref="J13:J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culBase">
                <anchor moveWithCells="1" sizeWithCells="1">
                  <from>
                    <xdr:col>0</xdr:col>
                    <xdr:colOff>440871</xdr:colOff>
                    <xdr:row>11</xdr:row>
                    <xdr:rowOff>5443</xdr:rowOff>
                  </from>
                  <to>
                    <xdr:col>4</xdr:col>
                    <xdr:colOff>348343</xdr:colOff>
                    <xdr:row>13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culerMMP">
                <anchor moveWithCells="1" sizeWithCells="1">
                  <from>
                    <xdr:col>6</xdr:col>
                    <xdr:colOff>435429</xdr:colOff>
                    <xdr:row>10</xdr:row>
                    <xdr:rowOff>179614</xdr:rowOff>
                  </from>
                  <to>
                    <xdr:col>10</xdr:col>
                    <xdr:colOff>342900</xdr:colOff>
                    <xdr:row>13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regLine">
                <anchor moveWithCells="1" sizeWithCells="1">
                  <from>
                    <xdr:col>12</xdr:col>
                    <xdr:colOff>549729</xdr:colOff>
                    <xdr:row>10</xdr:row>
                    <xdr:rowOff>146957</xdr:rowOff>
                  </from>
                  <to>
                    <xdr:col>16</xdr:col>
                    <xdr:colOff>457200</xdr:colOff>
                    <xdr:row>13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utilitaire_analyse_lin2">
                <anchor moveWithCells="1" sizeWithCells="1">
                  <from>
                    <xdr:col>12</xdr:col>
                    <xdr:colOff>555171</xdr:colOff>
                    <xdr:row>13</xdr:row>
                    <xdr:rowOff>179614</xdr:rowOff>
                  </from>
                  <to>
                    <xdr:col>16</xdr:col>
                    <xdr:colOff>462643</xdr:colOff>
                    <xdr:row>15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saisonnaliteX">
                <anchor moveWithCells="1" sizeWithCells="1">
                  <from>
                    <xdr:col>6</xdr:col>
                    <xdr:colOff>435429</xdr:colOff>
                    <xdr:row>14</xdr:row>
                    <xdr:rowOff>10886</xdr:rowOff>
                  </from>
                  <to>
                    <xdr:col>10</xdr:col>
                    <xdr:colOff>342900</xdr:colOff>
                    <xdr:row>15</xdr:row>
                    <xdr:rowOff>179614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58109-E282-4931-AF4B-A0D9926789B5}">
  <sheetPr codeName="Feuil6"/>
  <dimension ref="A1:D11"/>
  <sheetViews>
    <sheetView workbookViewId="0">
      <selection activeCell="E11" sqref="E11"/>
    </sheetView>
  </sheetViews>
  <sheetFormatPr baseColWidth="10" defaultRowHeight="14.6" x14ac:dyDescent="0.4"/>
  <cols>
    <col min="1" max="1" width="19.3046875" bestFit="1" customWidth="1"/>
    <col min="2" max="2" width="16.921875" bestFit="1" customWidth="1"/>
  </cols>
  <sheetData>
    <row r="1" spans="1:4" x14ac:dyDescent="0.4">
      <c r="A1" s="17" t="s">
        <v>24</v>
      </c>
      <c r="B1" s="17"/>
      <c r="C1" s="17"/>
      <c r="D1" s="17"/>
    </row>
    <row r="2" spans="1:4" x14ac:dyDescent="0.4">
      <c r="A2" s="17"/>
      <c r="B2" s="17"/>
      <c r="C2" s="17"/>
      <c r="D2" s="17"/>
    </row>
    <row r="3" spans="1:4" x14ac:dyDescent="0.4">
      <c r="A3" s="13" t="s">
        <v>20</v>
      </c>
      <c r="B3" t="s">
        <v>22</v>
      </c>
      <c r="C3" t="s">
        <v>23</v>
      </c>
    </row>
    <row r="4" spans="1:4" x14ac:dyDescent="0.4">
      <c r="A4" s="14" t="s">
        <v>13</v>
      </c>
      <c r="B4">
        <v>948.5</v>
      </c>
      <c r="C4">
        <f>B4-$B$12</f>
        <v>948.5</v>
      </c>
    </row>
    <row r="5" spans="1:4" x14ac:dyDescent="0.4">
      <c r="A5" s="14" t="s">
        <v>14</v>
      </c>
      <c r="B5">
        <v>972.94444444444446</v>
      </c>
      <c r="C5">
        <f t="shared" ref="C5:C10" si="0">B5-$B$12</f>
        <v>972.94444444444446</v>
      </c>
    </row>
    <row r="6" spans="1:4" x14ac:dyDescent="0.4">
      <c r="A6" s="14" t="s">
        <v>15</v>
      </c>
      <c r="B6">
        <v>981.05555555555554</v>
      </c>
      <c r="C6">
        <f t="shared" si="0"/>
        <v>981.05555555555554</v>
      </c>
    </row>
    <row r="7" spans="1:4" x14ac:dyDescent="0.4">
      <c r="A7" s="14" t="s">
        <v>16</v>
      </c>
      <c r="B7">
        <v>910.66666666666663</v>
      </c>
      <c r="C7">
        <f t="shared" si="0"/>
        <v>910.66666666666663</v>
      </c>
    </row>
    <row r="8" spans="1:4" x14ac:dyDescent="0.4">
      <c r="A8" s="14" t="s">
        <v>17</v>
      </c>
      <c r="B8">
        <v>743.55555555555554</v>
      </c>
      <c r="C8">
        <f t="shared" si="0"/>
        <v>743.55555555555554</v>
      </c>
    </row>
    <row r="9" spans="1:4" x14ac:dyDescent="0.4">
      <c r="A9" s="14" t="s">
        <v>18</v>
      </c>
      <c r="B9">
        <v>497.83333333333331</v>
      </c>
      <c r="C9">
        <f t="shared" si="0"/>
        <v>497.83333333333331</v>
      </c>
    </row>
    <row r="10" spans="1:4" x14ac:dyDescent="0.4">
      <c r="A10" s="14" t="s">
        <v>19</v>
      </c>
      <c r="B10">
        <v>676.61111111111109</v>
      </c>
      <c r="C10">
        <f t="shared" si="0"/>
        <v>676.61111111111109</v>
      </c>
    </row>
    <row r="11" spans="1:4" x14ac:dyDescent="0.4">
      <c r="A11" s="14" t="s">
        <v>21</v>
      </c>
      <c r="B11">
        <v>818.73809523809518</v>
      </c>
    </row>
  </sheetData>
  <mergeCells count="1">
    <mergeCell ref="A1:D2"/>
  </mergeCell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0000"/>
  </sheetPr>
  <dimension ref="A1:H141"/>
  <sheetViews>
    <sheetView workbookViewId="0">
      <selection sqref="A1:F1048576"/>
    </sheetView>
  </sheetViews>
  <sheetFormatPr baseColWidth="10" defaultRowHeight="14.6" x14ac:dyDescent="0.4"/>
  <cols>
    <col min="1" max="1" width="7.765625" bestFit="1" customWidth="1"/>
    <col min="2" max="2" width="8.84375" bestFit="1" customWidth="1"/>
    <col min="3" max="5" width="8.84375" customWidth="1"/>
    <col min="6" max="6" width="6" bestFit="1" customWidth="1"/>
  </cols>
  <sheetData>
    <row r="1" spans="1:8" ht="16.3" x14ac:dyDescent="0.4">
      <c r="A1" s="9" t="s">
        <v>5</v>
      </c>
      <c r="B1" s="9" t="s">
        <v>6</v>
      </c>
      <c r="C1" s="9" t="s">
        <v>7</v>
      </c>
      <c r="D1" s="9" t="s">
        <v>8</v>
      </c>
      <c r="E1" s="9" t="s">
        <v>9</v>
      </c>
      <c r="F1" s="9" t="s">
        <v>10</v>
      </c>
      <c r="G1" s="9" t="s">
        <v>11</v>
      </c>
      <c r="H1" s="9" t="s">
        <v>12</v>
      </c>
    </row>
    <row r="2" spans="1:8" x14ac:dyDescent="0.4">
      <c r="A2" s="10">
        <v>1</v>
      </c>
      <c r="B2" s="10" t="s">
        <v>13</v>
      </c>
      <c r="C2" s="10">
        <v>1</v>
      </c>
      <c r="D2" s="10">
        <f>C2^2</f>
        <v>1</v>
      </c>
      <c r="E2" s="10">
        <f>C2^3</f>
        <v>1</v>
      </c>
      <c r="F2" s="10">
        <v>693</v>
      </c>
      <c r="G2" s="11"/>
      <c r="H2" s="11" t="str">
        <f t="shared" ref="H2:H65" si="0">IF(G2="","",F2-G2)</f>
        <v/>
      </c>
    </row>
    <row r="3" spans="1:8" x14ac:dyDescent="0.4">
      <c r="A3" s="10">
        <v>1</v>
      </c>
      <c r="B3" s="10" t="s">
        <v>14</v>
      </c>
      <c r="C3" s="10">
        <v>2</v>
      </c>
      <c r="D3" s="10">
        <f t="shared" ref="D3:D66" si="1">C3^2</f>
        <v>4</v>
      </c>
      <c r="E3" s="10">
        <f t="shared" ref="E3:E66" si="2">C3^3</f>
        <v>8</v>
      </c>
      <c r="F3" s="10">
        <v>695</v>
      </c>
      <c r="G3" s="11"/>
      <c r="H3" s="11" t="str">
        <f t="shared" si="0"/>
        <v/>
      </c>
    </row>
    <row r="4" spans="1:8" x14ac:dyDescent="0.4">
      <c r="A4" s="10">
        <v>1</v>
      </c>
      <c r="B4" s="10" t="s">
        <v>15</v>
      </c>
      <c r="C4" s="10">
        <v>3</v>
      </c>
      <c r="D4" s="10">
        <f t="shared" si="1"/>
        <v>9</v>
      </c>
      <c r="E4" s="10">
        <f t="shared" si="2"/>
        <v>27</v>
      </c>
      <c r="F4" s="10">
        <v>597</v>
      </c>
      <c r="G4" s="11"/>
      <c r="H4" s="11" t="str">
        <f t="shared" si="0"/>
        <v/>
      </c>
    </row>
    <row r="5" spans="1:8" x14ac:dyDescent="0.4">
      <c r="A5" s="10">
        <v>1</v>
      </c>
      <c r="B5" s="10" t="s">
        <v>16</v>
      </c>
      <c r="C5" s="10">
        <v>4</v>
      </c>
      <c r="D5" s="10">
        <f t="shared" si="1"/>
        <v>16</v>
      </c>
      <c r="E5" s="10">
        <f t="shared" si="2"/>
        <v>64</v>
      </c>
      <c r="F5" s="10">
        <v>645</v>
      </c>
      <c r="G5">
        <f>SUM(F2:F8)/7</f>
        <v>588.42857142857144</v>
      </c>
      <c r="H5">
        <f>IF(G5="","",F5-G5)</f>
        <v>56.571428571428555</v>
      </c>
    </row>
    <row r="6" spans="1:8" x14ac:dyDescent="0.4">
      <c r="A6" s="10">
        <v>1</v>
      </c>
      <c r="B6" s="10" t="s">
        <v>17</v>
      </c>
      <c r="C6" s="10">
        <v>5</v>
      </c>
      <c r="D6" s="10">
        <f t="shared" si="1"/>
        <v>25</v>
      </c>
      <c r="E6" s="10">
        <f t="shared" si="2"/>
        <v>125</v>
      </c>
      <c r="F6" s="10">
        <v>548</v>
      </c>
      <c r="G6">
        <f t="shared" ref="G6:G69" si="3">SUM(F3:F9)/7</f>
        <v>578</v>
      </c>
      <c r="H6">
        <f t="shared" si="0"/>
        <v>-30</v>
      </c>
    </row>
    <row r="7" spans="1:8" x14ac:dyDescent="0.4">
      <c r="A7" s="10">
        <v>1</v>
      </c>
      <c r="B7" s="10" t="s">
        <v>18</v>
      </c>
      <c r="C7" s="10">
        <v>6</v>
      </c>
      <c r="D7" s="10">
        <f t="shared" si="1"/>
        <v>36</v>
      </c>
      <c r="E7" s="10">
        <f t="shared" si="2"/>
        <v>216</v>
      </c>
      <c r="F7" s="10">
        <v>387</v>
      </c>
      <c r="G7">
        <f t="shared" si="3"/>
        <v>575</v>
      </c>
      <c r="H7">
        <f t="shared" si="0"/>
        <v>-188</v>
      </c>
    </row>
    <row r="8" spans="1:8" x14ac:dyDescent="0.4">
      <c r="A8" s="10">
        <v>1</v>
      </c>
      <c r="B8" s="10" t="s">
        <v>19</v>
      </c>
      <c r="C8" s="10">
        <v>7</v>
      </c>
      <c r="D8" s="10">
        <f t="shared" si="1"/>
        <v>49</v>
      </c>
      <c r="E8" s="10">
        <f t="shared" si="2"/>
        <v>343</v>
      </c>
      <c r="F8" s="10">
        <v>554</v>
      </c>
      <c r="G8">
        <f t="shared" si="3"/>
        <v>586.85714285714289</v>
      </c>
      <c r="H8">
        <f t="shared" si="0"/>
        <v>-32.85714285714289</v>
      </c>
    </row>
    <row r="9" spans="1:8" x14ac:dyDescent="0.4">
      <c r="A9">
        <v>2</v>
      </c>
      <c r="B9" t="s">
        <v>13</v>
      </c>
      <c r="C9">
        <v>8</v>
      </c>
      <c r="D9">
        <f t="shared" si="1"/>
        <v>64</v>
      </c>
      <c r="E9">
        <f t="shared" si="2"/>
        <v>512</v>
      </c>
      <c r="F9">
        <v>620</v>
      </c>
      <c r="G9">
        <f t="shared" si="3"/>
        <v>588.42857142857144</v>
      </c>
      <c r="H9">
        <f t="shared" si="0"/>
        <v>31.571428571428555</v>
      </c>
    </row>
    <row r="10" spans="1:8" x14ac:dyDescent="0.4">
      <c r="A10">
        <v>2</v>
      </c>
      <c r="B10" t="s">
        <v>14</v>
      </c>
      <c r="C10">
        <v>9</v>
      </c>
      <c r="D10">
        <f t="shared" si="1"/>
        <v>81</v>
      </c>
      <c r="E10">
        <f t="shared" si="2"/>
        <v>729</v>
      </c>
      <c r="F10">
        <v>674</v>
      </c>
      <c r="G10">
        <f t="shared" si="3"/>
        <v>580.14285714285711</v>
      </c>
      <c r="H10">
        <f t="shared" si="0"/>
        <v>93.85714285714289</v>
      </c>
    </row>
    <row r="11" spans="1:8" x14ac:dyDescent="0.4">
      <c r="A11">
        <v>2</v>
      </c>
      <c r="B11" t="s">
        <v>15</v>
      </c>
      <c r="C11">
        <v>10</v>
      </c>
      <c r="D11">
        <f t="shared" si="1"/>
        <v>100</v>
      </c>
      <c r="E11">
        <f t="shared" si="2"/>
        <v>1000</v>
      </c>
      <c r="F11">
        <v>680</v>
      </c>
      <c r="G11">
        <f t="shared" si="3"/>
        <v>573.28571428571433</v>
      </c>
      <c r="H11">
        <f t="shared" si="0"/>
        <v>106.71428571428567</v>
      </c>
    </row>
    <row r="12" spans="1:8" x14ac:dyDescent="0.4">
      <c r="A12">
        <v>2</v>
      </c>
      <c r="B12" t="s">
        <v>16</v>
      </c>
      <c r="C12">
        <v>11</v>
      </c>
      <c r="D12">
        <f t="shared" si="1"/>
        <v>121</v>
      </c>
      <c r="E12">
        <f t="shared" si="2"/>
        <v>1331</v>
      </c>
      <c r="F12">
        <v>656</v>
      </c>
      <c r="G12">
        <f t="shared" si="3"/>
        <v>567.57142857142856</v>
      </c>
      <c r="H12">
        <f t="shared" si="0"/>
        <v>88.428571428571445</v>
      </c>
    </row>
    <row r="13" spans="1:8" x14ac:dyDescent="0.4">
      <c r="A13">
        <v>2</v>
      </c>
      <c r="B13" t="s">
        <v>17</v>
      </c>
      <c r="C13">
        <v>12</v>
      </c>
      <c r="D13">
        <f t="shared" si="1"/>
        <v>144</v>
      </c>
      <c r="E13">
        <f t="shared" si="2"/>
        <v>1728</v>
      </c>
      <c r="F13">
        <v>490</v>
      </c>
      <c r="G13">
        <f t="shared" si="3"/>
        <v>574.57142857142856</v>
      </c>
      <c r="H13">
        <f t="shared" si="0"/>
        <v>-84.571428571428555</v>
      </c>
    </row>
    <row r="14" spans="1:8" x14ac:dyDescent="0.4">
      <c r="A14">
        <v>2</v>
      </c>
      <c r="B14" t="s">
        <v>18</v>
      </c>
      <c r="C14">
        <v>13</v>
      </c>
      <c r="D14">
        <f t="shared" si="1"/>
        <v>169</v>
      </c>
      <c r="E14">
        <f t="shared" si="2"/>
        <v>2197</v>
      </c>
      <c r="F14">
        <v>339</v>
      </c>
      <c r="G14">
        <f t="shared" si="3"/>
        <v>572.57142857142856</v>
      </c>
      <c r="H14">
        <f t="shared" si="0"/>
        <v>-233.57142857142856</v>
      </c>
    </row>
    <row r="15" spans="1:8" x14ac:dyDescent="0.4">
      <c r="A15">
        <v>2</v>
      </c>
      <c r="B15" t="s">
        <v>19</v>
      </c>
      <c r="C15">
        <v>14</v>
      </c>
      <c r="D15">
        <f t="shared" si="1"/>
        <v>196</v>
      </c>
      <c r="E15">
        <f t="shared" si="2"/>
        <v>2744</v>
      </c>
      <c r="F15">
        <v>514</v>
      </c>
      <c r="G15">
        <f t="shared" si="3"/>
        <v>603.14285714285711</v>
      </c>
      <c r="H15">
        <f t="shared" si="0"/>
        <v>-89.14285714285711</v>
      </c>
    </row>
    <row r="16" spans="1:8" x14ac:dyDescent="0.4">
      <c r="A16">
        <v>3</v>
      </c>
      <c r="B16" t="s">
        <v>13</v>
      </c>
      <c r="C16">
        <v>15</v>
      </c>
      <c r="D16">
        <f t="shared" si="1"/>
        <v>225</v>
      </c>
      <c r="E16">
        <f t="shared" si="2"/>
        <v>3375</v>
      </c>
      <c r="F16">
        <v>669</v>
      </c>
      <c r="G16">
        <f t="shared" si="3"/>
        <v>627.14285714285711</v>
      </c>
      <c r="H16">
        <f t="shared" si="0"/>
        <v>41.85714285714289</v>
      </c>
    </row>
    <row r="17" spans="1:8" x14ac:dyDescent="0.4">
      <c r="A17">
        <v>3</v>
      </c>
      <c r="B17" t="s">
        <v>14</v>
      </c>
      <c r="C17">
        <v>16</v>
      </c>
      <c r="D17">
        <f t="shared" si="1"/>
        <v>256</v>
      </c>
      <c r="E17">
        <f t="shared" si="2"/>
        <v>4096</v>
      </c>
      <c r="F17">
        <v>660</v>
      </c>
      <c r="G17">
        <f t="shared" si="3"/>
        <v>650.42857142857144</v>
      </c>
      <c r="H17">
        <f t="shared" si="0"/>
        <v>9.5714285714285552</v>
      </c>
    </row>
    <row r="18" spans="1:8" x14ac:dyDescent="0.4">
      <c r="A18">
        <v>3</v>
      </c>
      <c r="B18" t="s">
        <v>15</v>
      </c>
      <c r="C18">
        <v>17</v>
      </c>
      <c r="D18">
        <f t="shared" si="1"/>
        <v>289</v>
      </c>
      <c r="E18">
        <f t="shared" si="2"/>
        <v>4913</v>
      </c>
      <c r="F18">
        <v>894</v>
      </c>
      <c r="G18">
        <f t="shared" si="3"/>
        <v>670.57142857142856</v>
      </c>
      <c r="H18">
        <f t="shared" si="0"/>
        <v>223.42857142857144</v>
      </c>
    </row>
    <row r="19" spans="1:8" x14ac:dyDescent="0.4">
      <c r="A19">
        <v>3</v>
      </c>
      <c r="B19" t="s">
        <v>16</v>
      </c>
      <c r="C19">
        <v>18</v>
      </c>
      <c r="D19">
        <f t="shared" si="1"/>
        <v>324</v>
      </c>
      <c r="E19">
        <f t="shared" si="2"/>
        <v>5832</v>
      </c>
      <c r="F19">
        <v>824</v>
      </c>
      <c r="G19">
        <f t="shared" si="3"/>
        <v>686.42857142857144</v>
      </c>
      <c r="H19">
        <f t="shared" si="0"/>
        <v>137.57142857142856</v>
      </c>
    </row>
    <row r="20" spans="1:8" x14ac:dyDescent="0.4">
      <c r="A20">
        <v>3</v>
      </c>
      <c r="B20" t="s">
        <v>17</v>
      </c>
      <c r="C20">
        <v>19</v>
      </c>
      <c r="D20">
        <f t="shared" si="1"/>
        <v>361</v>
      </c>
      <c r="E20">
        <f t="shared" si="2"/>
        <v>6859</v>
      </c>
      <c r="F20">
        <v>653</v>
      </c>
      <c r="G20">
        <f t="shared" si="3"/>
        <v>717</v>
      </c>
      <c r="H20">
        <f t="shared" si="0"/>
        <v>-64</v>
      </c>
    </row>
    <row r="21" spans="1:8" x14ac:dyDescent="0.4">
      <c r="A21">
        <v>3</v>
      </c>
      <c r="B21" t="s">
        <v>18</v>
      </c>
      <c r="C21">
        <v>20</v>
      </c>
      <c r="D21">
        <f t="shared" si="1"/>
        <v>400</v>
      </c>
      <c r="E21">
        <f t="shared" si="2"/>
        <v>8000</v>
      </c>
      <c r="F21">
        <v>480</v>
      </c>
      <c r="G21">
        <f t="shared" si="3"/>
        <v>747.14285714285711</v>
      </c>
      <c r="H21">
        <f t="shared" si="0"/>
        <v>-267.14285714285711</v>
      </c>
    </row>
    <row r="22" spans="1:8" x14ac:dyDescent="0.4">
      <c r="A22">
        <v>3</v>
      </c>
      <c r="B22" t="s">
        <v>19</v>
      </c>
      <c r="C22">
        <v>21</v>
      </c>
      <c r="D22">
        <f t="shared" si="1"/>
        <v>441</v>
      </c>
      <c r="E22">
        <f t="shared" si="2"/>
        <v>9261</v>
      </c>
      <c r="F22">
        <v>625</v>
      </c>
      <c r="G22">
        <f t="shared" si="3"/>
        <v>738.57142857142856</v>
      </c>
      <c r="H22">
        <f t="shared" si="0"/>
        <v>-113.57142857142856</v>
      </c>
    </row>
    <row r="23" spans="1:8" x14ac:dyDescent="0.4">
      <c r="A23">
        <v>4</v>
      </c>
      <c r="B23" t="s">
        <v>13</v>
      </c>
      <c r="C23">
        <v>22</v>
      </c>
      <c r="D23">
        <f t="shared" si="1"/>
        <v>484</v>
      </c>
      <c r="E23">
        <f t="shared" si="2"/>
        <v>10648</v>
      </c>
      <c r="F23">
        <v>883</v>
      </c>
      <c r="G23">
        <f t="shared" si="3"/>
        <v>728.57142857142856</v>
      </c>
      <c r="H23">
        <f t="shared" si="0"/>
        <v>154.42857142857144</v>
      </c>
    </row>
    <row r="24" spans="1:8" x14ac:dyDescent="0.4">
      <c r="A24">
        <v>4</v>
      </c>
      <c r="B24" t="s">
        <v>14</v>
      </c>
      <c r="C24">
        <v>23</v>
      </c>
      <c r="D24">
        <f t="shared" si="1"/>
        <v>529</v>
      </c>
      <c r="E24">
        <f t="shared" si="2"/>
        <v>12167</v>
      </c>
      <c r="F24">
        <v>871</v>
      </c>
      <c r="G24">
        <f t="shared" si="3"/>
        <v>726.85714285714289</v>
      </c>
      <c r="H24">
        <f t="shared" si="0"/>
        <v>144.14285714285711</v>
      </c>
    </row>
    <row r="25" spans="1:8" x14ac:dyDescent="0.4">
      <c r="A25">
        <v>4</v>
      </c>
      <c r="B25" t="s">
        <v>15</v>
      </c>
      <c r="C25">
        <v>24</v>
      </c>
      <c r="D25">
        <f t="shared" si="1"/>
        <v>576</v>
      </c>
      <c r="E25">
        <f t="shared" si="2"/>
        <v>13824</v>
      </c>
      <c r="F25">
        <v>834</v>
      </c>
      <c r="G25">
        <f t="shared" si="3"/>
        <v>723.42857142857144</v>
      </c>
      <c r="H25">
        <f t="shared" si="0"/>
        <v>110.57142857142856</v>
      </c>
    </row>
    <row r="26" spans="1:8" x14ac:dyDescent="0.4">
      <c r="A26">
        <v>4</v>
      </c>
      <c r="B26" t="s">
        <v>16</v>
      </c>
      <c r="C26">
        <v>25</v>
      </c>
      <c r="D26">
        <f t="shared" si="1"/>
        <v>625</v>
      </c>
      <c r="E26">
        <f t="shared" si="2"/>
        <v>15625</v>
      </c>
      <c r="F26">
        <v>754</v>
      </c>
      <c r="G26">
        <f t="shared" si="3"/>
        <v>732.14285714285711</v>
      </c>
      <c r="H26">
        <f t="shared" si="0"/>
        <v>21.85714285714289</v>
      </c>
    </row>
    <row r="27" spans="1:8" x14ac:dyDescent="0.4">
      <c r="A27">
        <v>4</v>
      </c>
      <c r="B27" t="s">
        <v>17</v>
      </c>
      <c r="C27">
        <v>26</v>
      </c>
      <c r="D27">
        <f t="shared" si="1"/>
        <v>676</v>
      </c>
      <c r="E27">
        <f t="shared" si="2"/>
        <v>17576</v>
      </c>
      <c r="F27">
        <v>641</v>
      </c>
      <c r="G27">
        <f t="shared" si="3"/>
        <v>735.42857142857144</v>
      </c>
      <c r="H27">
        <f t="shared" si="0"/>
        <v>-94.428571428571445</v>
      </c>
    </row>
    <row r="28" spans="1:8" x14ac:dyDescent="0.4">
      <c r="A28">
        <v>4</v>
      </c>
      <c r="B28" t="s">
        <v>18</v>
      </c>
      <c r="C28">
        <v>27</v>
      </c>
      <c r="D28">
        <f t="shared" si="1"/>
        <v>729</v>
      </c>
      <c r="E28">
        <f t="shared" si="2"/>
        <v>19683</v>
      </c>
      <c r="F28">
        <v>456</v>
      </c>
      <c r="G28">
        <f t="shared" si="3"/>
        <v>740.57142857142856</v>
      </c>
      <c r="H28">
        <f t="shared" si="0"/>
        <v>-284.57142857142856</v>
      </c>
    </row>
    <row r="29" spans="1:8" x14ac:dyDescent="0.4">
      <c r="A29">
        <v>4</v>
      </c>
      <c r="B29" t="s">
        <v>19</v>
      </c>
      <c r="C29">
        <v>28</v>
      </c>
      <c r="D29">
        <f t="shared" si="1"/>
        <v>784</v>
      </c>
      <c r="E29">
        <f t="shared" si="2"/>
        <v>21952</v>
      </c>
      <c r="F29">
        <v>686</v>
      </c>
      <c r="G29">
        <f t="shared" si="3"/>
        <v>755.42857142857144</v>
      </c>
      <c r="H29">
        <f t="shared" si="0"/>
        <v>-69.428571428571445</v>
      </c>
    </row>
    <row r="30" spans="1:8" x14ac:dyDescent="0.4">
      <c r="A30">
        <v>5</v>
      </c>
      <c r="B30" t="s">
        <v>13</v>
      </c>
      <c r="C30">
        <v>29</v>
      </c>
      <c r="D30">
        <f t="shared" si="1"/>
        <v>841</v>
      </c>
      <c r="E30">
        <f t="shared" si="2"/>
        <v>24389</v>
      </c>
      <c r="F30">
        <v>906</v>
      </c>
      <c r="G30">
        <f t="shared" si="3"/>
        <v>768.42857142857144</v>
      </c>
      <c r="H30">
        <f t="shared" si="0"/>
        <v>137.57142857142856</v>
      </c>
    </row>
    <row r="31" spans="1:8" x14ac:dyDescent="0.4">
      <c r="A31">
        <v>5</v>
      </c>
      <c r="B31" t="s">
        <v>14</v>
      </c>
      <c r="C31">
        <v>30</v>
      </c>
      <c r="D31">
        <f t="shared" si="1"/>
        <v>900</v>
      </c>
      <c r="E31">
        <f t="shared" si="2"/>
        <v>27000</v>
      </c>
      <c r="F31">
        <v>907</v>
      </c>
      <c r="G31">
        <f t="shared" si="3"/>
        <v>783.14285714285711</v>
      </c>
      <c r="H31">
        <f t="shared" si="0"/>
        <v>123.85714285714289</v>
      </c>
    </row>
    <row r="32" spans="1:8" x14ac:dyDescent="0.4">
      <c r="A32">
        <v>5</v>
      </c>
      <c r="B32" t="s">
        <v>15</v>
      </c>
      <c r="C32">
        <v>31</v>
      </c>
      <c r="D32">
        <f t="shared" si="1"/>
        <v>961</v>
      </c>
      <c r="E32">
        <f t="shared" si="2"/>
        <v>29791</v>
      </c>
      <c r="F32">
        <v>938</v>
      </c>
      <c r="G32">
        <f t="shared" si="3"/>
        <v>788.14285714285711</v>
      </c>
      <c r="H32">
        <f t="shared" si="0"/>
        <v>149.85714285714289</v>
      </c>
    </row>
    <row r="33" spans="1:8" x14ac:dyDescent="0.4">
      <c r="A33">
        <v>5</v>
      </c>
      <c r="B33" t="s">
        <v>16</v>
      </c>
      <c r="C33">
        <v>32</v>
      </c>
      <c r="D33">
        <f t="shared" si="1"/>
        <v>1024</v>
      </c>
      <c r="E33">
        <f t="shared" si="2"/>
        <v>32768</v>
      </c>
      <c r="F33">
        <v>845</v>
      </c>
      <c r="G33">
        <f t="shared" si="3"/>
        <v>782.71428571428567</v>
      </c>
      <c r="H33">
        <f t="shared" si="0"/>
        <v>62.285714285714334</v>
      </c>
    </row>
    <row r="34" spans="1:8" x14ac:dyDescent="0.4">
      <c r="A34">
        <v>5</v>
      </c>
      <c r="B34" t="s">
        <v>17</v>
      </c>
      <c r="C34">
        <v>33</v>
      </c>
      <c r="D34">
        <f t="shared" si="1"/>
        <v>1089</v>
      </c>
      <c r="E34">
        <f t="shared" si="2"/>
        <v>35937</v>
      </c>
      <c r="F34">
        <v>744</v>
      </c>
      <c r="G34">
        <f t="shared" si="3"/>
        <v>792.28571428571433</v>
      </c>
      <c r="H34">
        <f t="shared" si="0"/>
        <v>-48.285714285714334</v>
      </c>
    </row>
    <row r="35" spans="1:8" x14ac:dyDescent="0.4">
      <c r="A35">
        <v>5</v>
      </c>
      <c r="B35" t="s">
        <v>18</v>
      </c>
      <c r="C35">
        <v>34</v>
      </c>
      <c r="D35">
        <f t="shared" si="1"/>
        <v>1156</v>
      </c>
      <c r="E35">
        <f t="shared" si="2"/>
        <v>39304</v>
      </c>
      <c r="F35">
        <v>491</v>
      </c>
      <c r="G35">
        <f t="shared" si="3"/>
        <v>792</v>
      </c>
      <c r="H35">
        <f t="shared" si="0"/>
        <v>-301</v>
      </c>
    </row>
    <row r="36" spans="1:8" x14ac:dyDescent="0.4">
      <c r="A36">
        <v>5</v>
      </c>
      <c r="B36" t="s">
        <v>19</v>
      </c>
      <c r="C36">
        <v>35</v>
      </c>
      <c r="D36">
        <f t="shared" si="1"/>
        <v>1225</v>
      </c>
      <c r="E36">
        <f t="shared" si="2"/>
        <v>42875</v>
      </c>
      <c r="F36">
        <v>648</v>
      </c>
      <c r="G36">
        <f t="shared" si="3"/>
        <v>789</v>
      </c>
      <c r="H36">
        <f t="shared" si="0"/>
        <v>-141</v>
      </c>
    </row>
    <row r="37" spans="1:8" x14ac:dyDescent="0.4">
      <c r="A37">
        <v>6</v>
      </c>
      <c r="B37" t="s">
        <v>13</v>
      </c>
      <c r="C37">
        <v>36</v>
      </c>
      <c r="D37">
        <f t="shared" si="1"/>
        <v>1296</v>
      </c>
      <c r="E37">
        <f t="shared" si="2"/>
        <v>46656</v>
      </c>
      <c r="F37">
        <v>973</v>
      </c>
      <c r="G37">
        <f t="shared" si="3"/>
        <v>791.14285714285711</v>
      </c>
      <c r="H37">
        <f t="shared" si="0"/>
        <v>181.85714285714289</v>
      </c>
    </row>
    <row r="38" spans="1:8" x14ac:dyDescent="0.4">
      <c r="A38">
        <v>6</v>
      </c>
      <c r="B38" t="s">
        <v>14</v>
      </c>
      <c r="C38">
        <v>37</v>
      </c>
      <c r="D38">
        <f t="shared" si="1"/>
        <v>1369</v>
      </c>
      <c r="E38">
        <f t="shared" si="2"/>
        <v>50653</v>
      </c>
      <c r="F38">
        <v>905</v>
      </c>
      <c r="G38">
        <f t="shared" si="3"/>
        <v>784.85714285714289</v>
      </c>
      <c r="H38">
        <f t="shared" si="0"/>
        <v>120.14285714285711</v>
      </c>
    </row>
    <row r="39" spans="1:8" x14ac:dyDescent="0.4">
      <c r="A39">
        <v>6</v>
      </c>
      <c r="B39" t="s">
        <v>15</v>
      </c>
      <c r="C39">
        <v>38</v>
      </c>
      <c r="D39">
        <f t="shared" si="1"/>
        <v>1444</v>
      </c>
      <c r="E39">
        <f t="shared" si="2"/>
        <v>54872</v>
      </c>
      <c r="F39">
        <v>917</v>
      </c>
      <c r="G39">
        <f t="shared" si="3"/>
        <v>775.14285714285711</v>
      </c>
      <c r="H39">
        <f t="shared" si="0"/>
        <v>141.85714285714289</v>
      </c>
    </row>
    <row r="40" spans="1:8" x14ac:dyDescent="0.4">
      <c r="A40">
        <v>6</v>
      </c>
      <c r="B40" t="s">
        <v>16</v>
      </c>
      <c r="C40">
        <v>39</v>
      </c>
      <c r="D40">
        <f t="shared" si="1"/>
        <v>1521</v>
      </c>
      <c r="E40">
        <f t="shared" si="2"/>
        <v>59319</v>
      </c>
      <c r="F40">
        <v>860</v>
      </c>
      <c r="G40">
        <f t="shared" si="3"/>
        <v>766.42857142857144</v>
      </c>
      <c r="H40">
        <f t="shared" si="0"/>
        <v>93.571428571428555</v>
      </c>
    </row>
    <row r="41" spans="1:8" x14ac:dyDescent="0.4">
      <c r="A41">
        <v>6</v>
      </c>
      <c r="B41" t="s">
        <v>17</v>
      </c>
      <c r="C41">
        <v>40</v>
      </c>
      <c r="D41">
        <f t="shared" si="1"/>
        <v>1600</v>
      </c>
      <c r="E41">
        <f t="shared" si="2"/>
        <v>64000</v>
      </c>
      <c r="F41">
        <v>700</v>
      </c>
      <c r="G41">
        <f t="shared" si="3"/>
        <v>755.14285714285711</v>
      </c>
      <c r="H41">
        <f t="shared" si="0"/>
        <v>-55.14285714285711</v>
      </c>
    </row>
    <row r="42" spans="1:8" x14ac:dyDescent="0.4">
      <c r="A42">
        <v>6</v>
      </c>
      <c r="B42" t="s">
        <v>18</v>
      </c>
      <c r="C42">
        <v>41</v>
      </c>
      <c r="D42">
        <f t="shared" si="1"/>
        <v>1681</v>
      </c>
      <c r="E42">
        <f t="shared" si="2"/>
        <v>68921</v>
      </c>
      <c r="F42">
        <v>423</v>
      </c>
      <c r="G42">
        <f t="shared" si="3"/>
        <v>757.85714285714289</v>
      </c>
      <c r="H42">
        <f t="shared" si="0"/>
        <v>-334.85714285714289</v>
      </c>
    </row>
    <row r="43" spans="1:8" x14ac:dyDescent="0.4">
      <c r="A43">
        <v>6</v>
      </c>
      <c r="B43" t="s">
        <v>19</v>
      </c>
      <c r="C43">
        <v>42</v>
      </c>
      <c r="D43">
        <f t="shared" si="1"/>
        <v>1764</v>
      </c>
      <c r="E43">
        <f t="shared" si="2"/>
        <v>74088</v>
      </c>
      <c r="F43">
        <v>587</v>
      </c>
      <c r="G43">
        <f t="shared" si="3"/>
        <v>751.71428571428567</v>
      </c>
      <c r="H43">
        <f t="shared" si="0"/>
        <v>-164.71428571428567</v>
      </c>
    </row>
    <row r="44" spans="1:8" x14ac:dyDescent="0.4">
      <c r="A44">
        <v>7</v>
      </c>
      <c r="B44" t="s">
        <v>13</v>
      </c>
      <c r="C44">
        <v>43</v>
      </c>
      <c r="D44">
        <f t="shared" si="1"/>
        <v>1849</v>
      </c>
      <c r="E44">
        <f t="shared" si="2"/>
        <v>79507</v>
      </c>
      <c r="F44">
        <v>894</v>
      </c>
      <c r="G44">
        <f t="shared" si="3"/>
        <v>741.71428571428567</v>
      </c>
      <c r="H44">
        <f t="shared" si="0"/>
        <v>152.28571428571433</v>
      </c>
    </row>
    <row r="45" spans="1:8" x14ac:dyDescent="0.4">
      <c r="A45">
        <v>7</v>
      </c>
      <c r="B45" t="s">
        <v>14</v>
      </c>
      <c r="C45">
        <v>44</v>
      </c>
      <c r="D45">
        <f t="shared" si="1"/>
        <v>1936</v>
      </c>
      <c r="E45">
        <f t="shared" si="2"/>
        <v>85184</v>
      </c>
      <c r="F45">
        <v>924</v>
      </c>
      <c r="G45">
        <f t="shared" si="3"/>
        <v>735.42857142857144</v>
      </c>
      <c r="H45">
        <f t="shared" si="0"/>
        <v>188.57142857142856</v>
      </c>
    </row>
    <row r="46" spans="1:8" x14ac:dyDescent="0.4">
      <c r="A46">
        <v>7</v>
      </c>
      <c r="B46" t="s">
        <v>15</v>
      </c>
      <c r="C46">
        <v>45</v>
      </c>
      <c r="D46">
        <f t="shared" si="1"/>
        <v>2025</v>
      </c>
      <c r="E46">
        <f t="shared" si="2"/>
        <v>91125</v>
      </c>
      <c r="F46">
        <v>874</v>
      </c>
      <c r="G46">
        <f t="shared" si="3"/>
        <v>737.71428571428567</v>
      </c>
      <c r="H46">
        <f t="shared" si="0"/>
        <v>136.28571428571433</v>
      </c>
    </row>
    <row r="47" spans="1:8" x14ac:dyDescent="0.4">
      <c r="A47">
        <v>7</v>
      </c>
      <c r="B47" t="s">
        <v>16</v>
      </c>
      <c r="C47">
        <v>46</v>
      </c>
      <c r="D47">
        <f t="shared" si="1"/>
        <v>2116</v>
      </c>
      <c r="E47">
        <f t="shared" si="2"/>
        <v>97336</v>
      </c>
      <c r="F47">
        <v>790</v>
      </c>
      <c r="G47">
        <f t="shared" si="3"/>
        <v>737.14285714285711</v>
      </c>
      <c r="H47">
        <f t="shared" si="0"/>
        <v>52.85714285714289</v>
      </c>
    </row>
    <row r="48" spans="1:8" x14ac:dyDescent="0.4">
      <c r="A48">
        <v>7</v>
      </c>
      <c r="B48" t="s">
        <v>17</v>
      </c>
      <c r="C48">
        <v>47</v>
      </c>
      <c r="D48">
        <f t="shared" si="1"/>
        <v>2209</v>
      </c>
      <c r="E48">
        <f t="shared" si="2"/>
        <v>103823</v>
      </c>
      <c r="F48">
        <v>656</v>
      </c>
      <c r="G48">
        <f t="shared" si="3"/>
        <v>729.42857142857144</v>
      </c>
      <c r="H48">
        <f t="shared" si="0"/>
        <v>-73.428571428571445</v>
      </c>
    </row>
    <row r="49" spans="1:8" x14ac:dyDescent="0.4">
      <c r="A49">
        <v>7</v>
      </c>
      <c r="B49" t="s">
        <v>18</v>
      </c>
      <c r="C49">
        <v>48</v>
      </c>
      <c r="D49">
        <f t="shared" si="1"/>
        <v>2304</v>
      </c>
      <c r="E49">
        <f t="shared" si="2"/>
        <v>110592</v>
      </c>
      <c r="F49">
        <v>439</v>
      </c>
      <c r="G49">
        <f t="shared" si="3"/>
        <v>732.14285714285711</v>
      </c>
      <c r="H49">
        <f t="shared" si="0"/>
        <v>-293.14285714285711</v>
      </c>
    </row>
    <row r="50" spans="1:8" x14ac:dyDescent="0.4">
      <c r="A50">
        <v>7</v>
      </c>
      <c r="B50" t="s">
        <v>19</v>
      </c>
      <c r="C50">
        <v>49</v>
      </c>
      <c r="D50">
        <f t="shared" si="1"/>
        <v>2401</v>
      </c>
      <c r="E50">
        <f t="shared" si="2"/>
        <v>117649</v>
      </c>
      <c r="F50">
        <v>583</v>
      </c>
      <c r="G50">
        <f t="shared" si="3"/>
        <v>732.85714285714289</v>
      </c>
      <c r="H50">
        <f t="shared" si="0"/>
        <v>-149.85714285714289</v>
      </c>
    </row>
    <row r="51" spans="1:8" x14ac:dyDescent="0.4">
      <c r="A51">
        <v>8</v>
      </c>
      <c r="B51" t="s">
        <v>13</v>
      </c>
      <c r="C51">
        <v>50</v>
      </c>
      <c r="D51">
        <f t="shared" si="1"/>
        <v>2500</v>
      </c>
      <c r="E51">
        <f t="shared" si="2"/>
        <v>125000</v>
      </c>
      <c r="F51">
        <v>840</v>
      </c>
      <c r="G51">
        <f t="shared" si="3"/>
        <v>739.14285714285711</v>
      </c>
      <c r="H51">
        <f t="shared" si="0"/>
        <v>100.85714285714289</v>
      </c>
    </row>
    <row r="52" spans="1:8" x14ac:dyDescent="0.4">
      <c r="A52">
        <v>8</v>
      </c>
      <c r="B52" t="s">
        <v>14</v>
      </c>
      <c r="C52">
        <v>51</v>
      </c>
      <c r="D52">
        <f t="shared" si="1"/>
        <v>2601</v>
      </c>
      <c r="E52">
        <f t="shared" si="2"/>
        <v>132651</v>
      </c>
      <c r="F52">
        <v>943</v>
      </c>
      <c r="G52">
        <f t="shared" si="3"/>
        <v>741</v>
      </c>
      <c r="H52">
        <f t="shared" si="0"/>
        <v>202</v>
      </c>
    </row>
    <row r="53" spans="1:8" x14ac:dyDescent="0.4">
      <c r="A53">
        <v>8</v>
      </c>
      <c r="B53" t="s">
        <v>15</v>
      </c>
      <c r="C53">
        <v>52</v>
      </c>
      <c r="D53">
        <f t="shared" si="1"/>
        <v>2704</v>
      </c>
      <c r="E53">
        <f t="shared" si="2"/>
        <v>140608</v>
      </c>
      <c r="F53">
        <v>879</v>
      </c>
      <c r="G53">
        <f t="shared" si="3"/>
        <v>743</v>
      </c>
      <c r="H53">
        <f t="shared" si="0"/>
        <v>136</v>
      </c>
    </row>
    <row r="54" spans="1:8" x14ac:dyDescent="0.4">
      <c r="A54">
        <v>8</v>
      </c>
      <c r="B54" t="s">
        <v>16</v>
      </c>
      <c r="C54">
        <v>53</v>
      </c>
      <c r="D54">
        <f t="shared" si="1"/>
        <v>2809</v>
      </c>
      <c r="E54">
        <f t="shared" si="2"/>
        <v>148877</v>
      </c>
      <c r="F54">
        <v>834</v>
      </c>
      <c r="G54">
        <f t="shared" si="3"/>
        <v>758.57142857142856</v>
      </c>
      <c r="H54">
        <f t="shared" si="0"/>
        <v>75.428571428571445</v>
      </c>
    </row>
    <row r="55" spans="1:8" x14ac:dyDescent="0.4">
      <c r="A55">
        <v>8</v>
      </c>
      <c r="B55" t="s">
        <v>17</v>
      </c>
      <c r="C55">
        <v>54</v>
      </c>
      <c r="D55">
        <f t="shared" si="1"/>
        <v>2916</v>
      </c>
      <c r="E55">
        <f t="shared" si="2"/>
        <v>157464</v>
      </c>
      <c r="F55">
        <v>669</v>
      </c>
      <c r="G55">
        <f t="shared" si="3"/>
        <v>786.14285714285711</v>
      </c>
      <c r="H55">
        <f t="shared" si="0"/>
        <v>-117.14285714285711</v>
      </c>
    </row>
    <row r="56" spans="1:8" x14ac:dyDescent="0.4">
      <c r="A56">
        <v>8</v>
      </c>
      <c r="B56" t="s">
        <v>18</v>
      </c>
      <c r="C56">
        <v>55</v>
      </c>
      <c r="D56">
        <f t="shared" si="1"/>
        <v>3025</v>
      </c>
      <c r="E56">
        <f t="shared" si="2"/>
        <v>166375</v>
      </c>
      <c r="F56">
        <v>453</v>
      </c>
      <c r="G56">
        <f t="shared" si="3"/>
        <v>799.57142857142856</v>
      </c>
      <c r="H56">
        <f t="shared" si="0"/>
        <v>-346.57142857142856</v>
      </c>
    </row>
    <row r="57" spans="1:8" x14ac:dyDescent="0.4">
      <c r="A57">
        <v>8</v>
      </c>
      <c r="B57" t="s">
        <v>19</v>
      </c>
      <c r="C57">
        <v>56</v>
      </c>
      <c r="D57">
        <f t="shared" si="1"/>
        <v>3136</v>
      </c>
      <c r="E57">
        <f t="shared" si="2"/>
        <v>175616</v>
      </c>
      <c r="F57">
        <v>692</v>
      </c>
      <c r="G57">
        <f t="shared" si="3"/>
        <v>818.42857142857144</v>
      </c>
      <c r="H57">
        <f t="shared" si="0"/>
        <v>-126.42857142857144</v>
      </c>
    </row>
    <row r="58" spans="1:8" x14ac:dyDescent="0.4">
      <c r="A58">
        <v>9</v>
      </c>
      <c r="B58" t="s">
        <v>13</v>
      </c>
      <c r="C58">
        <v>57</v>
      </c>
      <c r="D58">
        <f t="shared" si="1"/>
        <v>3249</v>
      </c>
      <c r="E58">
        <f t="shared" si="2"/>
        <v>185193</v>
      </c>
      <c r="F58">
        <v>1033</v>
      </c>
      <c r="G58">
        <f t="shared" si="3"/>
        <v>831.57142857142856</v>
      </c>
      <c r="H58">
        <f t="shared" si="0"/>
        <v>201.42857142857144</v>
      </c>
    </row>
    <row r="59" spans="1:8" x14ac:dyDescent="0.4">
      <c r="A59">
        <v>9</v>
      </c>
      <c r="B59" t="s">
        <v>14</v>
      </c>
      <c r="C59">
        <v>58</v>
      </c>
      <c r="D59">
        <f t="shared" si="1"/>
        <v>3364</v>
      </c>
      <c r="E59">
        <f t="shared" si="2"/>
        <v>195112</v>
      </c>
      <c r="F59">
        <v>1037</v>
      </c>
      <c r="G59">
        <f t="shared" si="3"/>
        <v>840.14285714285711</v>
      </c>
      <c r="H59">
        <f t="shared" si="0"/>
        <v>196.85714285714289</v>
      </c>
    </row>
    <row r="60" spans="1:8" x14ac:dyDescent="0.4">
      <c r="A60">
        <v>9</v>
      </c>
      <c r="B60" t="s">
        <v>15</v>
      </c>
      <c r="C60">
        <v>59</v>
      </c>
      <c r="D60">
        <f t="shared" si="1"/>
        <v>3481</v>
      </c>
      <c r="E60">
        <f t="shared" si="2"/>
        <v>205379</v>
      </c>
      <c r="F60">
        <v>1011</v>
      </c>
      <c r="G60">
        <f t="shared" si="3"/>
        <v>847.14285714285711</v>
      </c>
      <c r="H60">
        <f t="shared" si="0"/>
        <v>163.85714285714289</v>
      </c>
    </row>
    <row r="61" spans="1:8" x14ac:dyDescent="0.4">
      <c r="A61">
        <v>9</v>
      </c>
      <c r="B61" t="s">
        <v>16</v>
      </c>
      <c r="C61">
        <v>60</v>
      </c>
      <c r="D61">
        <f t="shared" si="1"/>
        <v>3600</v>
      </c>
      <c r="E61">
        <f t="shared" si="2"/>
        <v>216000</v>
      </c>
      <c r="F61">
        <v>926</v>
      </c>
      <c r="G61">
        <f t="shared" si="3"/>
        <v>841.71428571428567</v>
      </c>
      <c r="H61">
        <f t="shared" si="0"/>
        <v>84.285714285714334</v>
      </c>
    </row>
    <row r="62" spans="1:8" x14ac:dyDescent="0.4">
      <c r="A62">
        <v>9</v>
      </c>
      <c r="B62" t="s">
        <v>17</v>
      </c>
      <c r="C62">
        <v>61</v>
      </c>
      <c r="D62">
        <f t="shared" si="1"/>
        <v>3721</v>
      </c>
      <c r="E62">
        <f t="shared" si="2"/>
        <v>226981</v>
      </c>
      <c r="F62">
        <v>729</v>
      </c>
      <c r="G62">
        <f t="shared" si="3"/>
        <v>840.71428571428567</v>
      </c>
      <c r="H62">
        <f t="shared" si="0"/>
        <v>-111.71428571428567</v>
      </c>
    </row>
    <row r="63" spans="1:8" x14ac:dyDescent="0.4">
      <c r="A63">
        <v>9</v>
      </c>
      <c r="B63" t="s">
        <v>18</v>
      </c>
      <c r="C63">
        <v>62</v>
      </c>
      <c r="D63">
        <f t="shared" si="1"/>
        <v>3844</v>
      </c>
      <c r="E63">
        <f t="shared" si="2"/>
        <v>238328</v>
      </c>
      <c r="F63">
        <v>502</v>
      </c>
      <c r="G63">
        <f t="shared" si="3"/>
        <v>833.85714285714289</v>
      </c>
      <c r="H63">
        <f t="shared" si="0"/>
        <v>-331.85714285714289</v>
      </c>
    </row>
    <row r="64" spans="1:8" x14ac:dyDescent="0.4">
      <c r="A64">
        <v>9</v>
      </c>
      <c r="B64" t="s">
        <v>19</v>
      </c>
      <c r="C64">
        <v>63</v>
      </c>
      <c r="D64">
        <f t="shared" si="1"/>
        <v>3969</v>
      </c>
      <c r="E64">
        <f t="shared" si="2"/>
        <v>250047</v>
      </c>
      <c r="F64">
        <v>654</v>
      </c>
      <c r="G64">
        <f t="shared" si="3"/>
        <v>821.28571428571433</v>
      </c>
      <c r="H64">
        <f t="shared" si="0"/>
        <v>-167.28571428571433</v>
      </c>
    </row>
    <row r="65" spans="1:8" x14ac:dyDescent="0.4">
      <c r="A65">
        <v>10</v>
      </c>
      <c r="B65" t="s">
        <v>13</v>
      </c>
      <c r="C65">
        <v>64</v>
      </c>
      <c r="D65">
        <f t="shared" si="1"/>
        <v>4096</v>
      </c>
      <c r="E65">
        <f t="shared" si="2"/>
        <v>262144</v>
      </c>
      <c r="F65">
        <v>1026</v>
      </c>
      <c r="G65">
        <f t="shared" si="3"/>
        <v>822.14285714285711</v>
      </c>
      <c r="H65">
        <f t="shared" si="0"/>
        <v>203.85714285714289</v>
      </c>
    </row>
    <row r="66" spans="1:8" x14ac:dyDescent="0.4">
      <c r="A66">
        <v>10</v>
      </c>
      <c r="B66" t="s">
        <v>14</v>
      </c>
      <c r="C66">
        <v>65</v>
      </c>
      <c r="D66">
        <f t="shared" si="1"/>
        <v>4225</v>
      </c>
      <c r="E66">
        <f t="shared" si="2"/>
        <v>274625</v>
      </c>
      <c r="F66">
        <v>989</v>
      </c>
      <c r="G66">
        <f t="shared" si="3"/>
        <v>822.85714285714289</v>
      </c>
      <c r="H66">
        <f t="shared" ref="H66:H127" si="4">IF(G66="","",F66-G66)</f>
        <v>166.14285714285711</v>
      </c>
    </row>
    <row r="67" spans="1:8" x14ac:dyDescent="0.4">
      <c r="A67">
        <v>10</v>
      </c>
      <c r="B67" t="s">
        <v>15</v>
      </c>
      <c r="C67">
        <v>66</v>
      </c>
      <c r="D67">
        <f t="shared" ref="D67:D130" si="5">C67^2</f>
        <v>4356</v>
      </c>
      <c r="E67">
        <f t="shared" ref="E67:E130" si="6">C67^3</f>
        <v>287496</v>
      </c>
      <c r="F67">
        <v>923</v>
      </c>
      <c r="G67">
        <f t="shared" si="3"/>
        <v>829.85714285714289</v>
      </c>
      <c r="H67">
        <f t="shared" si="4"/>
        <v>93.14285714285711</v>
      </c>
    </row>
    <row r="68" spans="1:8" x14ac:dyDescent="0.4">
      <c r="A68">
        <v>10</v>
      </c>
      <c r="B68" t="s">
        <v>16</v>
      </c>
      <c r="C68">
        <v>67</v>
      </c>
      <c r="D68">
        <f t="shared" si="5"/>
        <v>4489</v>
      </c>
      <c r="E68">
        <f t="shared" si="6"/>
        <v>300763</v>
      </c>
      <c r="F68">
        <v>932</v>
      </c>
      <c r="G68">
        <f t="shared" si="3"/>
        <v>843</v>
      </c>
      <c r="H68">
        <f t="shared" si="4"/>
        <v>89</v>
      </c>
    </row>
    <row r="69" spans="1:8" x14ac:dyDescent="0.4">
      <c r="A69">
        <v>10</v>
      </c>
      <c r="B69" t="s">
        <v>17</v>
      </c>
      <c r="C69">
        <v>68</v>
      </c>
      <c r="D69">
        <f t="shared" si="5"/>
        <v>4624</v>
      </c>
      <c r="E69">
        <f t="shared" si="6"/>
        <v>314432</v>
      </c>
      <c r="F69">
        <v>734</v>
      </c>
      <c r="G69">
        <f t="shared" si="3"/>
        <v>844.85714285714289</v>
      </c>
      <c r="H69">
        <f t="shared" si="4"/>
        <v>-110.85714285714289</v>
      </c>
    </row>
    <row r="70" spans="1:8" x14ac:dyDescent="0.4">
      <c r="A70">
        <v>10</v>
      </c>
      <c r="B70" t="s">
        <v>18</v>
      </c>
      <c r="C70">
        <v>69</v>
      </c>
      <c r="D70">
        <f t="shared" si="5"/>
        <v>4761</v>
      </c>
      <c r="E70">
        <f t="shared" si="6"/>
        <v>328509</v>
      </c>
      <c r="F70">
        <v>551</v>
      </c>
      <c r="G70">
        <f t="shared" ref="G70:G124" si="7">SUM(F67:F73)/7</f>
        <v>847.71428571428567</v>
      </c>
      <c r="H70">
        <f t="shared" si="4"/>
        <v>-296.71428571428567</v>
      </c>
    </row>
    <row r="71" spans="1:8" x14ac:dyDescent="0.4">
      <c r="A71">
        <v>10</v>
      </c>
      <c r="B71" t="s">
        <v>19</v>
      </c>
      <c r="C71">
        <v>70</v>
      </c>
      <c r="D71">
        <f t="shared" si="5"/>
        <v>4900</v>
      </c>
      <c r="E71">
        <f t="shared" si="6"/>
        <v>343000</v>
      </c>
      <c r="F71">
        <v>746</v>
      </c>
      <c r="G71">
        <f t="shared" si="7"/>
        <v>869.57142857142856</v>
      </c>
      <c r="H71">
        <f t="shared" si="4"/>
        <v>-123.57142857142856</v>
      </c>
    </row>
    <row r="72" spans="1:8" x14ac:dyDescent="0.4">
      <c r="A72">
        <v>11</v>
      </c>
      <c r="B72" t="s">
        <v>13</v>
      </c>
      <c r="C72">
        <v>71</v>
      </c>
      <c r="D72">
        <f t="shared" si="5"/>
        <v>5041</v>
      </c>
      <c r="E72">
        <f t="shared" si="6"/>
        <v>357911</v>
      </c>
      <c r="F72">
        <v>1039</v>
      </c>
      <c r="G72">
        <f t="shared" si="7"/>
        <v>870.71428571428567</v>
      </c>
      <c r="H72">
        <f t="shared" si="4"/>
        <v>168.28571428571433</v>
      </c>
    </row>
    <row r="73" spans="1:8" x14ac:dyDescent="0.4">
      <c r="A73">
        <v>11</v>
      </c>
      <c r="B73" t="s">
        <v>14</v>
      </c>
      <c r="C73">
        <v>72</v>
      </c>
      <c r="D73">
        <f t="shared" si="5"/>
        <v>5184</v>
      </c>
      <c r="E73">
        <f t="shared" si="6"/>
        <v>373248</v>
      </c>
      <c r="F73">
        <v>1009</v>
      </c>
      <c r="G73">
        <f t="shared" si="7"/>
        <v>872.57142857142856</v>
      </c>
      <c r="H73">
        <f t="shared" si="4"/>
        <v>136.42857142857144</v>
      </c>
    </row>
    <row r="74" spans="1:8" x14ac:dyDescent="0.4">
      <c r="A74">
        <v>11</v>
      </c>
      <c r="B74" t="s">
        <v>15</v>
      </c>
      <c r="C74">
        <v>73</v>
      </c>
      <c r="D74">
        <f t="shared" si="5"/>
        <v>5329</v>
      </c>
      <c r="E74">
        <f t="shared" si="6"/>
        <v>389017</v>
      </c>
      <c r="F74">
        <v>1076</v>
      </c>
      <c r="G74">
        <f t="shared" si="7"/>
        <v>871</v>
      </c>
      <c r="H74">
        <f t="shared" si="4"/>
        <v>205</v>
      </c>
    </row>
    <row r="75" spans="1:8" x14ac:dyDescent="0.4">
      <c r="A75">
        <v>11</v>
      </c>
      <c r="B75" t="s">
        <v>16</v>
      </c>
      <c r="C75">
        <v>74</v>
      </c>
      <c r="D75">
        <f t="shared" si="5"/>
        <v>5476</v>
      </c>
      <c r="E75">
        <f t="shared" si="6"/>
        <v>405224</v>
      </c>
      <c r="F75">
        <v>940</v>
      </c>
      <c r="G75">
        <f t="shared" si="7"/>
        <v>867.85714285714289</v>
      </c>
      <c r="H75">
        <f t="shared" si="4"/>
        <v>72.14285714285711</v>
      </c>
    </row>
    <row r="76" spans="1:8" x14ac:dyDescent="0.4">
      <c r="A76">
        <v>11</v>
      </c>
      <c r="B76" t="s">
        <v>17</v>
      </c>
      <c r="C76">
        <v>75</v>
      </c>
      <c r="D76">
        <f t="shared" si="5"/>
        <v>5625</v>
      </c>
      <c r="E76">
        <f t="shared" si="6"/>
        <v>421875</v>
      </c>
      <c r="F76">
        <v>747</v>
      </c>
      <c r="G76">
        <f t="shared" si="7"/>
        <v>867.85714285714289</v>
      </c>
      <c r="H76">
        <f t="shared" si="4"/>
        <v>-120.85714285714289</v>
      </c>
    </row>
    <row r="77" spans="1:8" x14ac:dyDescent="0.4">
      <c r="A77">
        <v>11</v>
      </c>
      <c r="B77" t="s">
        <v>18</v>
      </c>
      <c r="C77">
        <v>76</v>
      </c>
      <c r="D77">
        <f t="shared" si="5"/>
        <v>5776</v>
      </c>
      <c r="E77">
        <f t="shared" si="6"/>
        <v>438976</v>
      </c>
      <c r="F77">
        <v>540</v>
      </c>
      <c r="G77">
        <f t="shared" si="7"/>
        <v>873.14285714285711</v>
      </c>
      <c r="H77">
        <f t="shared" si="4"/>
        <v>-333.14285714285711</v>
      </c>
    </row>
    <row r="78" spans="1:8" x14ac:dyDescent="0.4">
      <c r="A78">
        <v>11</v>
      </c>
      <c r="B78" t="s">
        <v>19</v>
      </c>
      <c r="C78">
        <v>77</v>
      </c>
      <c r="D78">
        <f t="shared" si="5"/>
        <v>5929</v>
      </c>
      <c r="E78">
        <f t="shared" si="6"/>
        <v>456533</v>
      </c>
      <c r="F78">
        <v>724</v>
      </c>
      <c r="G78">
        <f t="shared" si="7"/>
        <v>875.85714285714289</v>
      </c>
      <c r="H78">
        <f t="shared" si="4"/>
        <v>-151.85714285714289</v>
      </c>
    </row>
    <row r="79" spans="1:8" x14ac:dyDescent="0.4">
      <c r="A79">
        <v>12</v>
      </c>
      <c r="B79" t="s">
        <v>13</v>
      </c>
      <c r="C79">
        <v>78</v>
      </c>
      <c r="D79">
        <f t="shared" si="5"/>
        <v>6084</v>
      </c>
      <c r="E79">
        <f t="shared" si="6"/>
        <v>474552</v>
      </c>
      <c r="F79">
        <v>1039</v>
      </c>
      <c r="G79">
        <f t="shared" si="7"/>
        <v>874.28571428571433</v>
      </c>
      <c r="H79">
        <f t="shared" si="4"/>
        <v>164.71428571428567</v>
      </c>
    </row>
    <row r="80" spans="1:8" x14ac:dyDescent="0.4">
      <c r="A80">
        <v>12</v>
      </c>
      <c r="B80" t="s">
        <v>14</v>
      </c>
      <c r="C80">
        <v>79</v>
      </c>
      <c r="D80">
        <f t="shared" si="5"/>
        <v>6241</v>
      </c>
      <c r="E80">
        <f t="shared" si="6"/>
        <v>493039</v>
      </c>
      <c r="F80">
        <v>1046</v>
      </c>
      <c r="G80">
        <f t="shared" si="7"/>
        <v>880.42857142857144</v>
      </c>
      <c r="H80">
        <f t="shared" si="4"/>
        <v>165.57142857142856</v>
      </c>
    </row>
    <row r="81" spans="1:8" x14ac:dyDescent="0.4">
      <c r="A81">
        <v>12</v>
      </c>
      <c r="B81" t="s">
        <v>15</v>
      </c>
      <c r="C81">
        <v>80</v>
      </c>
      <c r="D81">
        <f t="shared" si="5"/>
        <v>6400</v>
      </c>
      <c r="E81">
        <f t="shared" si="6"/>
        <v>512000</v>
      </c>
      <c r="F81">
        <v>1095</v>
      </c>
      <c r="G81">
        <f t="shared" si="7"/>
        <v>878.85714285714289</v>
      </c>
      <c r="H81">
        <f t="shared" si="4"/>
        <v>216.14285714285711</v>
      </c>
    </row>
    <row r="82" spans="1:8" x14ac:dyDescent="0.4">
      <c r="A82">
        <v>12</v>
      </c>
      <c r="B82" t="s">
        <v>16</v>
      </c>
      <c r="C82">
        <v>81</v>
      </c>
      <c r="D82">
        <f t="shared" si="5"/>
        <v>6561</v>
      </c>
      <c r="E82">
        <f t="shared" si="6"/>
        <v>531441</v>
      </c>
      <c r="F82">
        <v>929</v>
      </c>
      <c r="G82">
        <f t="shared" si="7"/>
        <v>881.42857142857144</v>
      </c>
      <c r="H82">
        <f t="shared" si="4"/>
        <v>47.571428571428555</v>
      </c>
    </row>
    <row r="83" spans="1:8" x14ac:dyDescent="0.4">
      <c r="A83">
        <v>12</v>
      </c>
      <c r="B83" t="s">
        <v>17</v>
      </c>
      <c r="C83">
        <v>82</v>
      </c>
      <c r="D83">
        <f t="shared" si="5"/>
        <v>6724</v>
      </c>
      <c r="E83">
        <f t="shared" si="6"/>
        <v>551368</v>
      </c>
      <c r="F83">
        <v>790</v>
      </c>
      <c r="G83">
        <f t="shared" si="7"/>
        <v>879.28571428571433</v>
      </c>
      <c r="H83">
        <f t="shared" si="4"/>
        <v>-89.285714285714334</v>
      </c>
    </row>
    <row r="84" spans="1:8" x14ac:dyDescent="0.4">
      <c r="A84">
        <v>12</v>
      </c>
      <c r="B84" t="s">
        <v>18</v>
      </c>
      <c r="C84">
        <v>83</v>
      </c>
      <c r="D84">
        <f t="shared" si="5"/>
        <v>6889</v>
      </c>
      <c r="E84">
        <f t="shared" si="6"/>
        <v>571787</v>
      </c>
      <c r="F84">
        <v>529</v>
      </c>
      <c r="G84">
        <f t="shared" si="7"/>
        <v>886.42857142857144</v>
      </c>
      <c r="H84">
        <f t="shared" si="4"/>
        <v>-357.42857142857144</v>
      </c>
    </row>
    <row r="85" spans="1:8" x14ac:dyDescent="0.4">
      <c r="A85">
        <v>12</v>
      </c>
      <c r="B85" t="s">
        <v>19</v>
      </c>
      <c r="C85">
        <v>84</v>
      </c>
      <c r="D85">
        <f t="shared" si="5"/>
        <v>7056</v>
      </c>
      <c r="E85">
        <f t="shared" si="6"/>
        <v>592704</v>
      </c>
      <c r="F85">
        <v>742</v>
      </c>
      <c r="G85">
        <f t="shared" si="7"/>
        <v>883.42857142857144</v>
      </c>
      <c r="H85">
        <f t="shared" si="4"/>
        <v>-141.42857142857144</v>
      </c>
    </row>
    <row r="86" spans="1:8" x14ac:dyDescent="0.4">
      <c r="A86">
        <v>13</v>
      </c>
      <c r="B86" t="s">
        <v>13</v>
      </c>
      <c r="C86">
        <v>85</v>
      </c>
      <c r="D86">
        <f t="shared" si="5"/>
        <v>7225</v>
      </c>
      <c r="E86">
        <f t="shared" si="6"/>
        <v>614125</v>
      </c>
      <c r="F86">
        <v>1024</v>
      </c>
      <c r="G86">
        <f t="shared" si="7"/>
        <v>882.85714285714289</v>
      </c>
      <c r="H86">
        <f t="shared" si="4"/>
        <v>141.14285714285711</v>
      </c>
    </row>
    <row r="87" spans="1:8" x14ac:dyDescent="0.4">
      <c r="A87">
        <v>13</v>
      </c>
      <c r="B87" t="s">
        <v>14</v>
      </c>
      <c r="C87">
        <v>86</v>
      </c>
      <c r="D87">
        <f t="shared" si="5"/>
        <v>7396</v>
      </c>
      <c r="E87">
        <f t="shared" si="6"/>
        <v>636056</v>
      </c>
      <c r="F87">
        <v>1096</v>
      </c>
      <c r="G87">
        <f t="shared" si="7"/>
        <v>863.71428571428567</v>
      </c>
      <c r="H87">
        <f t="shared" si="4"/>
        <v>232.28571428571433</v>
      </c>
    </row>
    <row r="88" spans="1:8" x14ac:dyDescent="0.4">
      <c r="A88">
        <v>13</v>
      </c>
      <c r="B88" t="s">
        <v>15</v>
      </c>
      <c r="C88">
        <v>87</v>
      </c>
      <c r="D88">
        <f t="shared" si="5"/>
        <v>7569</v>
      </c>
      <c r="E88">
        <f t="shared" si="6"/>
        <v>658503</v>
      </c>
      <c r="F88">
        <v>1074</v>
      </c>
      <c r="G88">
        <f t="shared" si="7"/>
        <v>847.28571428571433</v>
      </c>
      <c r="H88">
        <f t="shared" si="4"/>
        <v>226.71428571428567</v>
      </c>
    </row>
    <row r="89" spans="1:8" x14ac:dyDescent="0.4">
      <c r="A89">
        <v>13</v>
      </c>
      <c r="B89" t="s">
        <v>16</v>
      </c>
      <c r="C89">
        <v>88</v>
      </c>
      <c r="D89">
        <f t="shared" si="5"/>
        <v>7744</v>
      </c>
      <c r="E89">
        <f t="shared" si="6"/>
        <v>681472</v>
      </c>
      <c r="F89">
        <v>925</v>
      </c>
      <c r="G89">
        <f t="shared" si="7"/>
        <v>806.14285714285711</v>
      </c>
      <c r="H89">
        <f t="shared" si="4"/>
        <v>118.85714285714289</v>
      </c>
    </row>
    <row r="90" spans="1:8" x14ac:dyDescent="0.4">
      <c r="A90">
        <v>13</v>
      </c>
      <c r="B90" t="s">
        <v>17</v>
      </c>
      <c r="C90">
        <v>89</v>
      </c>
      <c r="D90">
        <f t="shared" si="5"/>
        <v>7921</v>
      </c>
      <c r="E90">
        <f t="shared" si="6"/>
        <v>704969</v>
      </c>
      <c r="F90">
        <v>656</v>
      </c>
      <c r="G90">
        <f t="shared" si="7"/>
        <v>758.85714285714289</v>
      </c>
      <c r="H90">
        <f t="shared" si="4"/>
        <v>-102.85714285714289</v>
      </c>
    </row>
    <row r="91" spans="1:8" x14ac:dyDescent="0.4">
      <c r="A91">
        <v>13</v>
      </c>
      <c r="B91" t="s">
        <v>18</v>
      </c>
      <c r="C91">
        <v>90</v>
      </c>
      <c r="D91">
        <f t="shared" si="5"/>
        <v>8100</v>
      </c>
      <c r="E91">
        <f t="shared" si="6"/>
        <v>729000</v>
      </c>
      <c r="F91">
        <v>414</v>
      </c>
      <c r="G91">
        <f t="shared" si="7"/>
        <v>747.57142857142856</v>
      </c>
      <c r="H91">
        <f t="shared" si="4"/>
        <v>-333.57142857142856</v>
      </c>
    </row>
    <row r="92" spans="1:8" x14ac:dyDescent="0.4">
      <c r="A92">
        <v>13</v>
      </c>
      <c r="B92" t="s">
        <v>19</v>
      </c>
      <c r="C92">
        <v>91</v>
      </c>
      <c r="D92">
        <f t="shared" si="5"/>
        <v>8281</v>
      </c>
      <c r="E92">
        <f t="shared" si="6"/>
        <v>753571</v>
      </c>
      <c r="F92">
        <v>454</v>
      </c>
      <c r="G92">
        <f t="shared" si="7"/>
        <v>740</v>
      </c>
      <c r="H92">
        <f t="shared" si="4"/>
        <v>-286</v>
      </c>
    </row>
    <row r="93" spans="1:8" x14ac:dyDescent="0.4">
      <c r="A93">
        <v>14</v>
      </c>
      <c r="B93" t="s">
        <v>13</v>
      </c>
      <c r="C93">
        <v>92</v>
      </c>
      <c r="D93">
        <f t="shared" si="5"/>
        <v>8464</v>
      </c>
      <c r="E93">
        <f t="shared" si="6"/>
        <v>778688</v>
      </c>
      <c r="F93">
        <v>693</v>
      </c>
      <c r="G93">
        <f t="shared" si="7"/>
        <v>743.42857142857144</v>
      </c>
      <c r="H93">
        <f t="shared" si="4"/>
        <v>-50.428571428571445</v>
      </c>
    </row>
    <row r="94" spans="1:8" x14ac:dyDescent="0.4">
      <c r="A94">
        <v>14</v>
      </c>
      <c r="B94" t="s">
        <v>14</v>
      </c>
      <c r="C94">
        <v>93</v>
      </c>
      <c r="D94">
        <f t="shared" si="5"/>
        <v>8649</v>
      </c>
      <c r="E94">
        <f t="shared" si="6"/>
        <v>804357</v>
      </c>
      <c r="F94">
        <v>1017</v>
      </c>
      <c r="G94">
        <f t="shared" si="7"/>
        <v>764.14285714285711</v>
      </c>
      <c r="H94">
        <f t="shared" si="4"/>
        <v>252.85714285714289</v>
      </c>
    </row>
    <row r="95" spans="1:8" x14ac:dyDescent="0.4">
      <c r="A95">
        <v>14</v>
      </c>
      <c r="B95" t="s">
        <v>15</v>
      </c>
      <c r="C95">
        <v>94</v>
      </c>
      <c r="D95">
        <f t="shared" si="5"/>
        <v>8836</v>
      </c>
      <c r="E95">
        <f t="shared" si="6"/>
        <v>830584</v>
      </c>
      <c r="F95">
        <v>1021</v>
      </c>
      <c r="G95">
        <f t="shared" si="7"/>
        <v>774.28571428571433</v>
      </c>
      <c r="H95">
        <f t="shared" si="4"/>
        <v>246.71428571428567</v>
      </c>
    </row>
    <row r="96" spans="1:8" x14ac:dyDescent="0.4">
      <c r="A96">
        <v>14</v>
      </c>
      <c r="B96" t="s">
        <v>16</v>
      </c>
      <c r="C96">
        <v>95</v>
      </c>
      <c r="D96">
        <f t="shared" si="5"/>
        <v>9025</v>
      </c>
      <c r="E96">
        <f t="shared" si="6"/>
        <v>857375</v>
      </c>
      <c r="F96">
        <v>949</v>
      </c>
      <c r="G96">
        <f t="shared" si="7"/>
        <v>797.85714285714289</v>
      </c>
      <c r="H96">
        <f t="shared" si="4"/>
        <v>151.14285714285711</v>
      </c>
    </row>
    <row r="97" spans="1:8" x14ac:dyDescent="0.4">
      <c r="A97">
        <v>14</v>
      </c>
      <c r="B97" t="s">
        <v>17</v>
      </c>
      <c r="C97">
        <v>96</v>
      </c>
      <c r="D97">
        <f t="shared" si="5"/>
        <v>9216</v>
      </c>
      <c r="E97">
        <f t="shared" si="6"/>
        <v>884736</v>
      </c>
      <c r="F97">
        <v>801</v>
      </c>
      <c r="G97">
        <f t="shared" si="7"/>
        <v>846</v>
      </c>
      <c r="H97">
        <f t="shared" si="4"/>
        <v>-45</v>
      </c>
    </row>
    <row r="98" spans="1:8" x14ac:dyDescent="0.4">
      <c r="A98">
        <v>14</v>
      </c>
      <c r="B98" t="s">
        <v>18</v>
      </c>
      <c r="C98">
        <v>97</v>
      </c>
      <c r="D98">
        <f t="shared" si="5"/>
        <v>9409</v>
      </c>
      <c r="E98">
        <f t="shared" si="6"/>
        <v>912673</v>
      </c>
      <c r="F98">
        <v>485</v>
      </c>
      <c r="G98">
        <f t="shared" si="7"/>
        <v>846</v>
      </c>
      <c r="H98">
        <f t="shared" si="4"/>
        <v>-361</v>
      </c>
    </row>
    <row r="99" spans="1:8" x14ac:dyDescent="0.4">
      <c r="A99">
        <v>14</v>
      </c>
      <c r="B99" t="s">
        <v>19</v>
      </c>
      <c r="C99">
        <v>98</v>
      </c>
      <c r="D99">
        <f t="shared" si="5"/>
        <v>9604</v>
      </c>
      <c r="E99">
        <f t="shared" si="6"/>
        <v>941192</v>
      </c>
      <c r="F99">
        <v>619</v>
      </c>
      <c r="G99">
        <f t="shared" si="7"/>
        <v>850.71428571428567</v>
      </c>
      <c r="H99">
        <f t="shared" si="4"/>
        <v>-231.71428571428567</v>
      </c>
    </row>
    <row r="100" spans="1:8" x14ac:dyDescent="0.4">
      <c r="A100">
        <v>15</v>
      </c>
      <c r="B100" t="s">
        <v>13</v>
      </c>
      <c r="C100">
        <v>99</v>
      </c>
      <c r="D100">
        <f t="shared" si="5"/>
        <v>9801</v>
      </c>
      <c r="E100">
        <f t="shared" si="6"/>
        <v>970299</v>
      </c>
      <c r="F100">
        <v>1030</v>
      </c>
      <c r="G100">
        <f t="shared" si="7"/>
        <v>859.28571428571433</v>
      </c>
      <c r="H100">
        <f t="shared" si="4"/>
        <v>170.71428571428567</v>
      </c>
    </row>
    <row r="101" spans="1:8" x14ac:dyDescent="0.4">
      <c r="A101">
        <v>15</v>
      </c>
      <c r="B101" t="s">
        <v>14</v>
      </c>
      <c r="C101">
        <v>100</v>
      </c>
      <c r="D101">
        <f t="shared" si="5"/>
        <v>10000</v>
      </c>
      <c r="E101">
        <f t="shared" si="6"/>
        <v>1000000</v>
      </c>
      <c r="F101">
        <v>1017</v>
      </c>
      <c r="G101">
        <f t="shared" si="7"/>
        <v>864.85714285714289</v>
      </c>
      <c r="H101">
        <f t="shared" si="4"/>
        <v>152.14285714285711</v>
      </c>
    </row>
    <row r="102" spans="1:8" x14ac:dyDescent="0.4">
      <c r="A102">
        <v>15</v>
      </c>
      <c r="B102" t="s">
        <v>15</v>
      </c>
      <c r="C102">
        <v>101</v>
      </c>
      <c r="D102">
        <f t="shared" si="5"/>
        <v>10201</v>
      </c>
      <c r="E102">
        <f t="shared" si="6"/>
        <v>1030301</v>
      </c>
      <c r="F102">
        <v>1054</v>
      </c>
      <c r="G102">
        <f t="shared" si="7"/>
        <v>867.42857142857144</v>
      </c>
      <c r="H102">
        <f t="shared" si="4"/>
        <v>186.57142857142856</v>
      </c>
    </row>
    <row r="103" spans="1:8" x14ac:dyDescent="0.4">
      <c r="A103">
        <v>15</v>
      </c>
      <c r="B103" t="s">
        <v>16</v>
      </c>
      <c r="C103">
        <v>102</v>
      </c>
      <c r="D103">
        <f t="shared" si="5"/>
        <v>10404</v>
      </c>
      <c r="E103">
        <f t="shared" si="6"/>
        <v>1061208</v>
      </c>
      <c r="F103">
        <v>1009</v>
      </c>
      <c r="G103">
        <f t="shared" si="7"/>
        <v>864.85714285714289</v>
      </c>
      <c r="H103">
        <f t="shared" si="4"/>
        <v>144.14285714285711</v>
      </c>
    </row>
    <row r="104" spans="1:8" x14ac:dyDescent="0.4">
      <c r="A104">
        <v>15</v>
      </c>
      <c r="B104" t="s">
        <v>17</v>
      </c>
      <c r="C104">
        <v>103</v>
      </c>
      <c r="D104">
        <f t="shared" si="5"/>
        <v>10609</v>
      </c>
      <c r="E104">
        <f t="shared" si="6"/>
        <v>1092727</v>
      </c>
      <c r="F104">
        <v>840</v>
      </c>
      <c r="G104">
        <f t="shared" si="7"/>
        <v>869.57142857142856</v>
      </c>
      <c r="H104">
        <f t="shared" si="4"/>
        <v>-29.571428571428555</v>
      </c>
    </row>
    <row r="105" spans="1:8" x14ac:dyDescent="0.4">
      <c r="A105">
        <v>15</v>
      </c>
      <c r="B105" t="s">
        <v>18</v>
      </c>
      <c r="C105">
        <v>104</v>
      </c>
      <c r="D105">
        <f t="shared" si="5"/>
        <v>10816</v>
      </c>
      <c r="E105">
        <f t="shared" si="6"/>
        <v>1124864</v>
      </c>
      <c r="F105">
        <v>503</v>
      </c>
      <c r="G105">
        <f t="shared" si="7"/>
        <v>883.28571428571433</v>
      </c>
      <c r="H105">
        <f t="shared" si="4"/>
        <v>-380.28571428571433</v>
      </c>
    </row>
    <row r="106" spans="1:8" x14ac:dyDescent="0.4">
      <c r="A106">
        <v>15</v>
      </c>
      <c r="B106" t="s">
        <v>19</v>
      </c>
      <c r="C106">
        <v>105</v>
      </c>
      <c r="D106">
        <f t="shared" si="5"/>
        <v>11025</v>
      </c>
      <c r="E106">
        <f t="shared" si="6"/>
        <v>1157625</v>
      </c>
      <c r="F106">
        <v>601</v>
      </c>
      <c r="G106">
        <f t="shared" si="7"/>
        <v>891.71428571428567</v>
      </c>
      <c r="H106">
        <f t="shared" si="4"/>
        <v>-290.71428571428567</v>
      </c>
    </row>
    <row r="107" spans="1:8" x14ac:dyDescent="0.4">
      <c r="A107">
        <v>16</v>
      </c>
      <c r="B107" t="s">
        <v>13</v>
      </c>
      <c r="C107">
        <v>106</v>
      </c>
      <c r="D107">
        <f t="shared" si="5"/>
        <v>11236</v>
      </c>
      <c r="E107">
        <f t="shared" si="6"/>
        <v>1191016</v>
      </c>
      <c r="F107">
        <v>1063</v>
      </c>
      <c r="G107">
        <f t="shared" si="7"/>
        <v>903.57142857142856</v>
      </c>
      <c r="H107">
        <f t="shared" si="4"/>
        <v>159.42857142857144</v>
      </c>
    </row>
    <row r="108" spans="1:8" x14ac:dyDescent="0.4">
      <c r="A108">
        <v>16</v>
      </c>
      <c r="B108" t="s">
        <v>14</v>
      </c>
      <c r="C108">
        <v>107</v>
      </c>
      <c r="D108">
        <f t="shared" si="5"/>
        <v>11449</v>
      </c>
      <c r="E108">
        <f t="shared" si="6"/>
        <v>1225043</v>
      </c>
      <c r="F108">
        <v>1113</v>
      </c>
      <c r="G108">
        <f t="shared" si="7"/>
        <v>912.57142857142856</v>
      </c>
      <c r="H108">
        <f t="shared" si="4"/>
        <v>200.42857142857144</v>
      </c>
    </row>
    <row r="109" spans="1:8" x14ac:dyDescent="0.4">
      <c r="A109">
        <v>16</v>
      </c>
      <c r="B109" t="s">
        <v>15</v>
      </c>
      <c r="C109">
        <v>108</v>
      </c>
      <c r="D109">
        <f t="shared" si="5"/>
        <v>11664</v>
      </c>
      <c r="E109">
        <f t="shared" si="6"/>
        <v>1259712</v>
      </c>
      <c r="F109">
        <v>1113</v>
      </c>
      <c r="G109">
        <f t="shared" si="7"/>
        <v>915.57142857142856</v>
      </c>
      <c r="H109">
        <f t="shared" si="4"/>
        <v>197.42857142857144</v>
      </c>
    </row>
    <row r="110" spans="1:8" x14ac:dyDescent="0.4">
      <c r="A110">
        <v>16</v>
      </c>
      <c r="B110" t="s">
        <v>16</v>
      </c>
      <c r="C110">
        <v>109</v>
      </c>
      <c r="D110">
        <f t="shared" si="5"/>
        <v>11881</v>
      </c>
      <c r="E110">
        <f t="shared" si="6"/>
        <v>1295029</v>
      </c>
      <c r="F110">
        <v>1092</v>
      </c>
      <c r="G110">
        <f t="shared" si="7"/>
        <v>928.28571428571433</v>
      </c>
      <c r="H110">
        <f t="shared" si="4"/>
        <v>163.71428571428567</v>
      </c>
    </row>
    <row r="111" spans="1:8" x14ac:dyDescent="0.4">
      <c r="A111">
        <v>16</v>
      </c>
      <c r="B111" t="s">
        <v>17</v>
      </c>
      <c r="C111">
        <v>110</v>
      </c>
      <c r="D111">
        <f t="shared" si="5"/>
        <v>12100</v>
      </c>
      <c r="E111">
        <f t="shared" si="6"/>
        <v>1331000</v>
      </c>
      <c r="F111">
        <v>903</v>
      </c>
      <c r="G111">
        <f t="shared" si="7"/>
        <v>959.14285714285711</v>
      </c>
      <c r="H111">
        <f t="shared" si="4"/>
        <v>-56.14285714285711</v>
      </c>
    </row>
    <row r="112" spans="1:8" x14ac:dyDescent="0.4">
      <c r="A112">
        <v>16</v>
      </c>
      <c r="B112" t="s">
        <v>18</v>
      </c>
      <c r="C112">
        <v>111</v>
      </c>
      <c r="D112">
        <f t="shared" si="5"/>
        <v>12321</v>
      </c>
      <c r="E112">
        <f t="shared" si="6"/>
        <v>1367631</v>
      </c>
      <c r="F112">
        <v>524</v>
      </c>
      <c r="G112">
        <f t="shared" si="7"/>
        <v>973.42857142857144</v>
      </c>
      <c r="H112">
        <f t="shared" si="4"/>
        <v>-449.42857142857144</v>
      </c>
    </row>
    <row r="113" spans="1:8" x14ac:dyDescent="0.4">
      <c r="A113">
        <v>16</v>
      </c>
      <c r="B113" t="s">
        <v>19</v>
      </c>
      <c r="C113">
        <v>112</v>
      </c>
      <c r="D113">
        <f t="shared" si="5"/>
        <v>12544</v>
      </c>
      <c r="E113">
        <f t="shared" si="6"/>
        <v>1404928</v>
      </c>
      <c r="F113">
        <v>690</v>
      </c>
      <c r="G113">
        <f t="shared" si="7"/>
        <v>995.71428571428567</v>
      </c>
      <c r="H113">
        <f t="shared" si="4"/>
        <v>-305.71428571428567</v>
      </c>
    </row>
    <row r="114" spans="1:8" x14ac:dyDescent="0.4">
      <c r="A114">
        <v>17</v>
      </c>
      <c r="B114" t="s">
        <v>13</v>
      </c>
      <c r="C114">
        <v>113</v>
      </c>
      <c r="D114">
        <f t="shared" si="5"/>
        <v>12769</v>
      </c>
      <c r="E114">
        <f t="shared" si="6"/>
        <v>1442897</v>
      </c>
      <c r="F114">
        <v>1279</v>
      </c>
      <c r="G114">
        <f t="shared" si="7"/>
        <v>1005.2857142857143</v>
      </c>
      <c r="H114">
        <f t="shared" si="4"/>
        <v>273.71428571428567</v>
      </c>
    </row>
    <row r="115" spans="1:8" x14ac:dyDescent="0.4">
      <c r="A115">
        <v>17</v>
      </c>
      <c r="B115" t="s">
        <v>14</v>
      </c>
      <c r="C115">
        <v>114</v>
      </c>
      <c r="D115">
        <f t="shared" si="5"/>
        <v>12996</v>
      </c>
      <c r="E115">
        <f t="shared" si="6"/>
        <v>1481544</v>
      </c>
      <c r="F115">
        <v>1213</v>
      </c>
      <c r="G115">
        <f t="shared" si="7"/>
        <v>1020.5714285714286</v>
      </c>
      <c r="H115">
        <f t="shared" si="4"/>
        <v>192.42857142857144</v>
      </c>
    </row>
    <row r="116" spans="1:8" x14ac:dyDescent="0.4">
      <c r="A116">
        <v>17</v>
      </c>
      <c r="B116" t="s">
        <v>15</v>
      </c>
      <c r="C116">
        <v>115</v>
      </c>
      <c r="D116">
        <f t="shared" si="5"/>
        <v>13225</v>
      </c>
      <c r="E116">
        <f t="shared" si="6"/>
        <v>1520875</v>
      </c>
      <c r="F116">
        <v>1269</v>
      </c>
      <c r="G116">
        <f t="shared" si="7"/>
        <v>1048.4285714285713</v>
      </c>
      <c r="H116">
        <f t="shared" si="4"/>
        <v>220.57142857142867</v>
      </c>
    </row>
    <row r="117" spans="1:8" x14ac:dyDescent="0.4">
      <c r="A117">
        <v>17</v>
      </c>
      <c r="B117" t="s">
        <v>16</v>
      </c>
      <c r="C117">
        <v>116</v>
      </c>
      <c r="D117">
        <f t="shared" si="5"/>
        <v>13456</v>
      </c>
      <c r="E117">
        <f t="shared" si="6"/>
        <v>1560896</v>
      </c>
      <c r="F117">
        <v>1159</v>
      </c>
      <c r="G117">
        <f t="shared" si="7"/>
        <v>1084.1428571428571</v>
      </c>
      <c r="H117">
        <f t="shared" si="4"/>
        <v>74.85714285714289</v>
      </c>
    </row>
    <row r="118" spans="1:8" x14ac:dyDescent="0.4">
      <c r="A118">
        <v>17</v>
      </c>
      <c r="B118" t="s">
        <v>17</v>
      </c>
      <c r="C118">
        <v>117</v>
      </c>
      <c r="D118">
        <f t="shared" si="5"/>
        <v>13689</v>
      </c>
      <c r="E118">
        <f t="shared" si="6"/>
        <v>1601613</v>
      </c>
      <c r="F118">
        <v>1010</v>
      </c>
      <c r="G118">
        <f t="shared" si="7"/>
        <v>1097</v>
      </c>
      <c r="H118">
        <f t="shared" si="4"/>
        <v>-87</v>
      </c>
    </row>
    <row r="119" spans="1:8" x14ac:dyDescent="0.4">
      <c r="A119">
        <v>17</v>
      </c>
      <c r="B119" t="s">
        <v>18</v>
      </c>
      <c r="C119">
        <v>118</v>
      </c>
      <c r="D119">
        <f t="shared" si="5"/>
        <v>13924</v>
      </c>
      <c r="E119">
        <f t="shared" si="6"/>
        <v>1643032</v>
      </c>
      <c r="F119">
        <v>719</v>
      </c>
      <c r="G119">
        <f t="shared" si="7"/>
        <v>1123.2857142857142</v>
      </c>
      <c r="H119">
        <f t="shared" si="4"/>
        <v>-404.28571428571422</v>
      </c>
    </row>
    <row r="120" spans="1:8" x14ac:dyDescent="0.4">
      <c r="A120">
        <v>17</v>
      </c>
      <c r="B120" t="s">
        <v>19</v>
      </c>
      <c r="C120">
        <v>119</v>
      </c>
      <c r="D120">
        <f t="shared" si="5"/>
        <v>14161</v>
      </c>
      <c r="E120">
        <f t="shared" si="6"/>
        <v>1685159</v>
      </c>
      <c r="F120">
        <v>940</v>
      </c>
      <c r="G120">
        <f t="shared" si="7"/>
        <v>1143.4285714285713</v>
      </c>
      <c r="H120">
        <f t="shared" si="4"/>
        <v>-203.42857142857133</v>
      </c>
    </row>
    <row r="121" spans="1:8" x14ac:dyDescent="0.4">
      <c r="A121">
        <v>18</v>
      </c>
      <c r="B121" t="s">
        <v>13</v>
      </c>
      <c r="C121">
        <v>120</v>
      </c>
      <c r="D121">
        <f t="shared" si="5"/>
        <v>14400</v>
      </c>
      <c r="E121">
        <f t="shared" si="6"/>
        <v>1728000</v>
      </c>
      <c r="F121">
        <v>1369</v>
      </c>
      <c r="G121">
        <f t="shared" si="7"/>
        <v>1166.8571428571429</v>
      </c>
      <c r="H121">
        <f t="shared" si="4"/>
        <v>202.14285714285711</v>
      </c>
    </row>
    <row r="122" spans="1:8" x14ac:dyDescent="0.4">
      <c r="A122">
        <v>18</v>
      </c>
      <c r="B122" t="s">
        <v>14</v>
      </c>
      <c r="C122">
        <v>121</v>
      </c>
      <c r="D122">
        <f t="shared" si="5"/>
        <v>14641</v>
      </c>
      <c r="E122">
        <f t="shared" si="6"/>
        <v>1771561</v>
      </c>
      <c r="F122">
        <v>1397</v>
      </c>
      <c r="G122">
        <f t="shared" si="7"/>
        <v>1175.8571428571429</v>
      </c>
      <c r="H122">
        <f t="shared" si="4"/>
        <v>221.14285714285711</v>
      </c>
    </row>
    <row r="123" spans="1:8" x14ac:dyDescent="0.4">
      <c r="A123">
        <v>18</v>
      </c>
      <c r="B123" t="s">
        <v>15</v>
      </c>
      <c r="C123">
        <v>122</v>
      </c>
      <c r="D123">
        <f t="shared" si="5"/>
        <v>14884</v>
      </c>
      <c r="E123">
        <f t="shared" si="6"/>
        <v>1815848</v>
      </c>
      <c r="F123">
        <v>1410</v>
      </c>
      <c r="G123">
        <f t="shared" si="7"/>
        <v>1176.8571428571429</v>
      </c>
      <c r="H123">
        <f t="shared" si="4"/>
        <v>233.14285714285711</v>
      </c>
    </row>
    <row r="124" spans="1:8" x14ac:dyDescent="0.4">
      <c r="A124">
        <v>18</v>
      </c>
      <c r="B124" t="s">
        <v>16</v>
      </c>
      <c r="C124">
        <v>123</v>
      </c>
      <c r="D124">
        <f t="shared" si="5"/>
        <v>15129</v>
      </c>
      <c r="E124">
        <f t="shared" si="6"/>
        <v>1860867</v>
      </c>
      <c r="F124">
        <v>1323</v>
      </c>
      <c r="G124">
        <f t="shared" si="7"/>
        <v>1202.5714285714287</v>
      </c>
      <c r="H124">
        <f t="shared" si="4"/>
        <v>120.42857142857133</v>
      </c>
    </row>
    <row r="125" spans="1:8" x14ac:dyDescent="0.4">
      <c r="A125">
        <v>18</v>
      </c>
      <c r="B125" t="s">
        <v>17</v>
      </c>
      <c r="C125">
        <v>124</v>
      </c>
      <c r="D125">
        <f t="shared" si="5"/>
        <v>15376</v>
      </c>
      <c r="E125">
        <f t="shared" si="6"/>
        <v>1906624</v>
      </c>
      <c r="F125">
        <v>1073</v>
      </c>
      <c r="G125" s="11"/>
      <c r="H125" s="11" t="str">
        <f t="shared" si="4"/>
        <v/>
      </c>
    </row>
    <row r="126" spans="1:8" x14ac:dyDescent="0.4">
      <c r="A126">
        <v>18</v>
      </c>
      <c r="B126" t="s">
        <v>18</v>
      </c>
      <c r="C126">
        <v>125</v>
      </c>
      <c r="D126">
        <f t="shared" si="5"/>
        <v>15625</v>
      </c>
      <c r="E126">
        <f t="shared" si="6"/>
        <v>1953125</v>
      </c>
      <c r="F126">
        <v>726</v>
      </c>
      <c r="G126" s="11"/>
      <c r="H126" s="11" t="str">
        <f t="shared" si="4"/>
        <v/>
      </c>
    </row>
    <row r="127" spans="1:8" x14ac:dyDescent="0.4">
      <c r="A127">
        <v>18</v>
      </c>
      <c r="B127" t="s">
        <v>19</v>
      </c>
      <c r="C127">
        <v>126</v>
      </c>
      <c r="D127">
        <f t="shared" si="5"/>
        <v>15876</v>
      </c>
      <c r="E127">
        <f t="shared" si="6"/>
        <v>2000376</v>
      </c>
      <c r="F127">
        <v>1120</v>
      </c>
      <c r="G127" s="11"/>
      <c r="H127" s="11" t="str">
        <f t="shared" si="4"/>
        <v/>
      </c>
    </row>
    <row r="128" spans="1:8" x14ac:dyDescent="0.4">
      <c r="A128" s="12">
        <v>19</v>
      </c>
      <c r="B128" s="12" t="s">
        <v>13</v>
      </c>
      <c r="C128" s="12">
        <v>127</v>
      </c>
      <c r="D128" s="12">
        <f t="shared" si="5"/>
        <v>16129</v>
      </c>
      <c r="E128" s="12">
        <f t="shared" si="6"/>
        <v>2048383</v>
      </c>
    </row>
    <row r="129" spans="1:5" x14ac:dyDescent="0.4">
      <c r="A129" s="12">
        <v>19</v>
      </c>
      <c r="B129" s="12" t="s">
        <v>14</v>
      </c>
      <c r="C129" s="12">
        <v>128</v>
      </c>
      <c r="D129" s="12">
        <f t="shared" si="5"/>
        <v>16384</v>
      </c>
      <c r="E129" s="12">
        <f t="shared" si="6"/>
        <v>2097152</v>
      </c>
    </row>
    <row r="130" spans="1:5" x14ac:dyDescent="0.4">
      <c r="A130" s="12">
        <v>19</v>
      </c>
      <c r="B130" s="12" t="s">
        <v>15</v>
      </c>
      <c r="C130" s="12">
        <v>129</v>
      </c>
      <c r="D130" s="12">
        <f t="shared" si="5"/>
        <v>16641</v>
      </c>
      <c r="E130" s="12">
        <f t="shared" si="6"/>
        <v>2146689</v>
      </c>
    </row>
    <row r="131" spans="1:5" x14ac:dyDescent="0.4">
      <c r="A131" s="12">
        <v>19</v>
      </c>
      <c r="B131" s="12" t="s">
        <v>16</v>
      </c>
      <c r="C131" s="12">
        <v>130</v>
      </c>
      <c r="D131" s="12">
        <f t="shared" ref="D131:D141" si="8">C131^2</f>
        <v>16900</v>
      </c>
      <c r="E131" s="12">
        <f t="shared" ref="E131:E141" si="9">C131^3</f>
        <v>2197000</v>
      </c>
    </row>
    <row r="132" spans="1:5" x14ac:dyDescent="0.4">
      <c r="A132" s="12">
        <v>19</v>
      </c>
      <c r="B132" s="12" t="s">
        <v>17</v>
      </c>
      <c r="C132" s="12">
        <v>131</v>
      </c>
      <c r="D132" s="12">
        <f t="shared" si="8"/>
        <v>17161</v>
      </c>
      <c r="E132" s="12">
        <f t="shared" si="9"/>
        <v>2248091</v>
      </c>
    </row>
    <row r="133" spans="1:5" x14ac:dyDescent="0.4">
      <c r="A133" s="12">
        <v>19</v>
      </c>
      <c r="B133" s="12" t="s">
        <v>18</v>
      </c>
      <c r="C133" s="12">
        <v>132</v>
      </c>
      <c r="D133" s="12">
        <f t="shared" si="8"/>
        <v>17424</v>
      </c>
      <c r="E133" s="12">
        <f t="shared" si="9"/>
        <v>2299968</v>
      </c>
    </row>
    <row r="134" spans="1:5" x14ac:dyDescent="0.4">
      <c r="A134" s="12">
        <v>19</v>
      </c>
      <c r="B134" s="12" t="s">
        <v>19</v>
      </c>
      <c r="C134" s="12">
        <v>133</v>
      </c>
      <c r="D134" s="12">
        <f t="shared" si="8"/>
        <v>17689</v>
      </c>
      <c r="E134" s="12">
        <f t="shared" si="9"/>
        <v>2352637</v>
      </c>
    </row>
    <row r="135" spans="1:5" x14ac:dyDescent="0.4">
      <c r="A135" s="12">
        <v>20</v>
      </c>
      <c r="B135" s="12" t="s">
        <v>13</v>
      </c>
      <c r="C135" s="12">
        <v>134</v>
      </c>
      <c r="D135" s="12">
        <f t="shared" si="8"/>
        <v>17956</v>
      </c>
      <c r="E135" s="12">
        <f t="shared" si="9"/>
        <v>2406104</v>
      </c>
    </row>
    <row r="136" spans="1:5" x14ac:dyDescent="0.4">
      <c r="A136" s="12">
        <v>20</v>
      </c>
      <c r="B136" s="12" t="s">
        <v>14</v>
      </c>
      <c r="C136" s="12">
        <v>135</v>
      </c>
      <c r="D136" s="12">
        <f t="shared" si="8"/>
        <v>18225</v>
      </c>
      <c r="E136" s="12">
        <f t="shared" si="9"/>
        <v>2460375</v>
      </c>
    </row>
    <row r="137" spans="1:5" x14ac:dyDescent="0.4">
      <c r="A137" s="12">
        <v>20</v>
      </c>
      <c r="B137" s="12" t="s">
        <v>15</v>
      </c>
      <c r="C137" s="12">
        <v>136</v>
      </c>
      <c r="D137" s="12">
        <f t="shared" si="8"/>
        <v>18496</v>
      </c>
      <c r="E137" s="12">
        <f t="shared" si="9"/>
        <v>2515456</v>
      </c>
    </row>
    <row r="138" spans="1:5" x14ac:dyDescent="0.4">
      <c r="A138" s="12">
        <v>20</v>
      </c>
      <c r="B138" s="12" t="s">
        <v>16</v>
      </c>
      <c r="C138" s="12">
        <v>137</v>
      </c>
      <c r="D138" s="12">
        <f t="shared" si="8"/>
        <v>18769</v>
      </c>
      <c r="E138" s="12">
        <f t="shared" si="9"/>
        <v>2571353</v>
      </c>
    </row>
    <row r="139" spans="1:5" x14ac:dyDescent="0.4">
      <c r="A139" s="12">
        <v>20</v>
      </c>
      <c r="B139" s="12" t="s">
        <v>17</v>
      </c>
      <c r="C139" s="12">
        <v>138</v>
      </c>
      <c r="D139" s="12">
        <f t="shared" si="8"/>
        <v>19044</v>
      </c>
      <c r="E139" s="12">
        <f t="shared" si="9"/>
        <v>2628072</v>
      </c>
    </row>
    <row r="140" spans="1:5" x14ac:dyDescent="0.4">
      <c r="A140" s="12">
        <v>20</v>
      </c>
      <c r="B140" s="12" t="s">
        <v>18</v>
      </c>
      <c r="C140" s="12">
        <v>139</v>
      </c>
      <c r="D140" s="12">
        <f t="shared" si="8"/>
        <v>19321</v>
      </c>
      <c r="E140" s="12">
        <f t="shared" si="9"/>
        <v>2685619</v>
      </c>
    </row>
    <row r="141" spans="1:5" x14ac:dyDescent="0.4">
      <c r="A141" s="12">
        <v>20</v>
      </c>
      <c r="B141" s="12" t="s">
        <v>19</v>
      </c>
      <c r="C141" s="12">
        <v>140</v>
      </c>
      <c r="D141" s="12">
        <f t="shared" si="8"/>
        <v>19600</v>
      </c>
      <c r="E141" s="12">
        <f t="shared" si="9"/>
        <v>2744000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C696-77D5-4B8B-94B0-D29F14FBF0F7}">
  <sheetPr codeName="Feuil8"/>
  <dimension ref="A1:B1"/>
  <sheetViews>
    <sheetView workbookViewId="0">
      <selection activeCell="B1" sqref="B1"/>
    </sheetView>
  </sheetViews>
  <sheetFormatPr baseColWidth="10" defaultRowHeight="14.6" x14ac:dyDescent="0.4"/>
  <cols>
    <col min="1" max="1" width="46" bestFit="1" customWidth="1"/>
  </cols>
  <sheetData>
    <row r="1" spans="1:2" x14ac:dyDescent="0.4">
      <c r="A1" s="1" t="s">
        <v>2</v>
      </c>
      <c r="B1" s="2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65E7E-4518-4B6F-8BFA-B5C9DA167E23}">
  <sheetPr codeName="Feuil4"/>
  <dimension ref="A2:G52"/>
  <sheetViews>
    <sheetView workbookViewId="0">
      <selection activeCell="G16" sqref="G16"/>
    </sheetView>
  </sheetViews>
  <sheetFormatPr baseColWidth="10" defaultRowHeight="14.6" x14ac:dyDescent="0.4"/>
  <sheetData>
    <row r="2" spans="1:7" ht="15" thickBot="1" x14ac:dyDescent="0.45"/>
    <row r="3" spans="1:7" x14ac:dyDescent="0.4">
      <c r="A3" s="4"/>
      <c r="B3" s="5"/>
    </row>
    <row r="4" spans="1:7" x14ac:dyDescent="0.4">
      <c r="A4" s="3"/>
    </row>
    <row r="5" spans="1:7" x14ac:dyDescent="0.4">
      <c r="A5" s="3"/>
    </row>
    <row r="6" spans="1:7" x14ac:dyDescent="0.4">
      <c r="A6" s="3"/>
    </row>
    <row r="7" spans="1:7" x14ac:dyDescent="0.4">
      <c r="A7" s="3"/>
    </row>
    <row r="8" spans="1:7" ht="15" thickBot="1" x14ac:dyDescent="0.45">
      <c r="A8" s="6"/>
      <c r="B8" s="7"/>
    </row>
    <row r="10" spans="1:7" ht="15" thickBot="1" x14ac:dyDescent="0.45"/>
    <row r="11" spans="1:7" x14ac:dyDescent="0.4">
      <c r="A11" s="4"/>
      <c r="B11" s="8"/>
      <c r="C11" s="8"/>
      <c r="D11" s="8"/>
      <c r="E11" s="8"/>
      <c r="F11" s="5"/>
    </row>
    <row r="12" spans="1:7" x14ac:dyDescent="0.4">
      <c r="A12" s="3"/>
    </row>
    <row r="13" spans="1:7" x14ac:dyDescent="0.4">
      <c r="A13" s="3"/>
    </row>
    <row r="14" spans="1:7" ht="15" thickBot="1" x14ac:dyDescent="0.45">
      <c r="A14" s="6"/>
      <c r="B14" s="7"/>
      <c r="C14" s="7"/>
      <c r="D14" s="7"/>
      <c r="E14" s="7"/>
      <c r="F14" s="7"/>
    </row>
    <row r="15" spans="1:7" ht="15" thickBot="1" x14ac:dyDescent="0.45"/>
    <row r="16" spans="1:7" x14ac:dyDescent="0.4">
      <c r="A16" s="4"/>
      <c r="B16" s="8"/>
      <c r="C16" s="8"/>
      <c r="D16" s="8"/>
      <c r="E16" s="8"/>
      <c r="F16" s="8"/>
      <c r="G16" s="5"/>
    </row>
    <row r="17" spans="1:7" x14ac:dyDescent="0.4">
      <c r="A17" s="3"/>
    </row>
    <row r="18" spans="1:7" ht="15" thickBot="1" x14ac:dyDescent="0.45">
      <c r="A18" s="6"/>
      <c r="B18" s="7"/>
      <c r="C18" s="7"/>
      <c r="D18" s="7"/>
      <c r="E18" s="7"/>
      <c r="F18" s="7"/>
      <c r="G18" s="7"/>
    </row>
    <row r="23" spans="1:7" ht="15" thickBot="1" x14ac:dyDescent="0.45"/>
    <row r="24" spans="1:7" x14ac:dyDescent="0.4">
      <c r="A24" s="4"/>
      <c r="B24" s="8"/>
      <c r="C24" s="8"/>
      <c r="D24" s="5"/>
    </row>
    <row r="25" spans="1:7" x14ac:dyDescent="0.4">
      <c r="A25" s="3"/>
    </row>
    <row r="26" spans="1:7" x14ac:dyDescent="0.4">
      <c r="A26" s="3"/>
    </row>
    <row r="27" spans="1:7" x14ac:dyDescent="0.4">
      <c r="A27" s="3"/>
    </row>
    <row r="28" spans="1:7" x14ac:dyDescent="0.4">
      <c r="A28" s="3"/>
    </row>
    <row r="29" spans="1:7" x14ac:dyDescent="0.4">
      <c r="A29" s="3"/>
    </row>
    <row r="30" spans="1:7" x14ac:dyDescent="0.4">
      <c r="A30" s="3"/>
    </row>
    <row r="31" spans="1:7" x14ac:dyDescent="0.4">
      <c r="A31" s="3"/>
    </row>
    <row r="32" spans="1:7" x14ac:dyDescent="0.4">
      <c r="A32" s="3"/>
    </row>
    <row r="33" spans="1:1" x14ac:dyDescent="0.4">
      <c r="A33" s="3"/>
    </row>
    <row r="34" spans="1:1" x14ac:dyDescent="0.4">
      <c r="A34" s="3"/>
    </row>
    <row r="35" spans="1:1" x14ac:dyDescent="0.4">
      <c r="A35" s="3"/>
    </row>
    <row r="36" spans="1:1" x14ac:dyDescent="0.4">
      <c r="A36" s="3"/>
    </row>
    <row r="37" spans="1:1" x14ac:dyDescent="0.4">
      <c r="A37" s="3"/>
    </row>
    <row r="38" spans="1:1" x14ac:dyDescent="0.4">
      <c r="A38" s="3"/>
    </row>
    <row r="39" spans="1:1" x14ac:dyDescent="0.4">
      <c r="A39" s="3"/>
    </row>
    <row r="40" spans="1:1" x14ac:dyDescent="0.4">
      <c r="A40" s="3"/>
    </row>
    <row r="41" spans="1:1" x14ac:dyDescent="0.4">
      <c r="A41" s="3"/>
    </row>
    <row r="42" spans="1:1" x14ac:dyDescent="0.4">
      <c r="A42" s="3"/>
    </row>
    <row r="43" spans="1:1" x14ac:dyDescent="0.4">
      <c r="A43" s="3"/>
    </row>
    <row r="44" spans="1:1" x14ac:dyDescent="0.4">
      <c r="A44" s="3"/>
    </row>
    <row r="45" spans="1:1" x14ac:dyDescent="0.4">
      <c r="A45" s="3"/>
    </row>
    <row r="46" spans="1:1" x14ac:dyDescent="0.4">
      <c r="A46" s="3"/>
    </row>
    <row r="47" spans="1:1" x14ac:dyDescent="0.4">
      <c r="A47" s="3"/>
    </row>
    <row r="48" spans="1:1" x14ac:dyDescent="0.4">
      <c r="A48" s="3"/>
    </row>
    <row r="49" spans="1:4" x14ac:dyDescent="0.4">
      <c r="A49" s="3"/>
    </row>
    <row r="50" spans="1:4" x14ac:dyDescent="0.4">
      <c r="A50" s="3"/>
    </row>
    <row r="51" spans="1:4" x14ac:dyDescent="0.4">
      <c r="A51" s="3"/>
    </row>
    <row r="52" spans="1:4" ht="15" thickBot="1" x14ac:dyDescent="0.45">
      <c r="A52" s="6"/>
      <c r="B52" s="7"/>
      <c r="C52" s="7"/>
      <c r="D52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4F52F-EF39-4971-8141-61464C4A188D}">
  <sheetPr codeName="Feuil2">
    <tabColor rgb="FF000000"/>
  </sheetPr>
  <dimension ref="A1:D5"/>
  <sheetViews>
    <sheetView tabSelected="1" workbookViewId="0"/>
  </sheetViews>
  <sheetFormatPr baseColWidth="10" defaultRowHeight="14.6" x14ac:dyDescent="0.4"/>
  <cols>
    <col min="1" max="1" width="18.61328125" customWidth="1"/>
  </cols>
  <sheetData>
    <row r="1" spans="1:4" x14ac:dyDescent="0.4">
      <c r="A1" t="s">
        <v>0</v>
      </c>
    </row>
    <row r="2" spans="1:4" x14ac:dyDescent="0.4">
      <c r="A2" t="s">
        <v>1</v>
      </c>
    </row>
    <row r="4" spans="1:4" x14ac:dyDescent="0.4">
      <c r="A4" t="b">
        <v>1</v>
      </c>
    </row>
    <row r="5" spans="1:4" x14ac:dyDescent="0.4">
      <c r="D5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Menu</vt:lpstr>
      <vt:lpstr>Saisonnalité des données</vt:lpstr>
      <vt:lpstr>DATA</vt:lpstr>
      <vt:lpstr>Param</vt:lpstr>
      <vt:lpstr>Temp</vt:lpstr>
      <vt:lpstr>Memory</vt:lpstr>
      <vt:lpstr>axeX</vt:lpstr>
      <vt:lpstr>axeY</vt:lpstr>
      <vt:lpstr>processCancel</vt:lpstr>
      <vt:lpstr>startColBase</vt:lpstr>
      <vt:lpstr>tempRangeMemory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clement combier</dc:creator>
  <cp:lastModifiedBy>clement combier</cp:lastModifiedBy>
  <dcterms:created xsi:type="dcterms:W3CDTF">2015-06-05T18:17:20Z</dcterms:created>
  <dcterms:modified xsi:type="dcterms:W3CDTF">2022-12-12T19:20:50Z</dcterms:modified>
</cp:coreProperties>
</file>